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AE3A" lockStructure="1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ASE_1_ControlPremium_100pct" sheetId="2" state="visible" r:id="rId2"/>
    <sheet xmlns:r="http://schemas.openxmlformats.org/officeDocument/2006/relationships" name="CASE_2_DealSelection_Include01" sheetId="3" state="visible" r:id="rId3"/>
    <sheet xmlns:r="http://schemas.openxmlformats.org/officeDocument/2006/relationships" name="CASE_3_AvgVsMedian_Outliers" sheetId="4" state="visible" r:id="rId4"/>
    <sheet xmlns:r="http://schemas.openxmlformats.org/officeDocument/2006/relationships" name="CASE_4_PartialStake_Normalizati" sheetId="5" state="visible" r:id="rId5"/>
    <sheet xmlns:r="http://schemas.openxmlformats.org/officeDocument/2006/relationships" name="CASE_5_Judgment_Integrated" sheetId="6" state="visible" r:id="rId6"/>
    <sheet xmlns:r="http://schemas.openxmlformats.org/officeDocument/2006/relationships" name="CHECKS_Summary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₹&quot;\ ###,##0"/>
    <numFmt numFmtId="165" formatCode="###,##0.00&quot; cr&quot;"/>
    <numFmt numFmtId="166" formatCode="&quot;₹&quot;\ ###,##0.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color rgb="FFFFFFFF"/>
      <sz val="11"/>
    </font>
    <font>
      <name val="Calibri"/>
      <family val="2"/>
      <b val="1"/>
      <color rgb="FF1F4E79"/>
      <sz val="11"/>
      <u val="single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i val="1"/>
      <color rgb="FF1F4E79"/>
      <sz val="11"/>
    </font>
    <font>
      <name val="Calibri"/>
      <family val="2"/>
      <color rgb="FF1F4E79"/>
      <sz val="11"/>
      <u val="single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C6EFCE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9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2" fontId="0" fillId="5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left" vertical="center" wrapText="1"/>
    </xf>
    <xf numFmtId="166" fontId="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Instructor Notes</author>
  </authors>
  <commentList>
    <comment ref="J6" authorId="0" shapeId="0">
      <text>
        <t>Include? controls statistics and target valuation: 1=include, 0=exclude.</t>
      </text>
    </comment>
    <comment ref="K6" authorId="0" shapeId="0">
      <text>
        <t>Equity Value @100% = Deal Value ÷ Stake% (as a decimal). Scales partial stakes to full equity value.</t>
      </text>
    </comment>
    <comment ref="L6" authorId="0" shapeId="0">
      <text>
        <t>Enterprise Value (EV) = Equity Value @100% + Net Debt (included deals only).</t>
      </text>
    </comment>
    <comment ref="B18" authorId="0" shapeId="0">
      <text>
        <t>Median uses FILTER (Excel 365+). If unavailable, use helper column or array formula.</t>
      </text>
    </comment>
    <comment ref="E24" authorId="0" shapeId="0">
      <text>
        <t>Price/share: Equity (₹ cr) ÷ Shares (cr) = ₹ per share (units cancel).</t>
      </text>
    </comment>
    <comment ref="E27" authorId="0" shapeId="0">
      <text>
        <t>All checks must PASS. If FAIL, review Include, Stake%, or EBITDA/Revenue values.</t>
      </text>
    </comment>
  </commentList>
</comments>
</file>

<file path=xl/comments/comment2.xml><?xml version="1.0" encoding="utf-8"?>
<comments xmlns="http://schemas.openxmlformats.org/spreadsheetml/2006/main">
  <authors>
    <author>Instructor Notes</author>
  </authors>
  <commentList>
    <comment ref="J6" authorId="0" shapeId="0">
      <text>
        <t>Include? controls statistics and target valuation: 1=include, 0=exclude.</t>
      </text>
    </comment>
    <comment ref="K6" authorId="0" shapeId="0">
      <text>
        <t>Equity Value @100% = Deal Value ÷ Stake% (as a decimal). Scales partial stakes to full equity value.</t>
      </text>
    </comment>
    <comment ref="L6" authorId="0" shapeId="0">
      <text>
        <t>Enterprise Value (EV) = Equity Value @100% + Net Debt (included deals only).</t>
      </text>
    </comment>
    <comment ref="B18" authorId="0" shapeId="0">
      <text>
        <t>Median uses FILTER (Excel 365+). If unavailable, use helper column or array formula.</t>
      </text>
    </comment>
    <comment ref="E24" authorId="0" shapeId="0">
      <text>
        <t>Price/share: Equity (₹ cr) ÷ Shares (cr) = ₹ per share (units cancel).</t>
      </text>
    </comment>
    <comment ref="E27" authorId="0" shapeId="0">
      <text>
        <t>All checks must PASS. If FAIL, review Include, Stake%, or EBITDA/Revenue values.</t>
      </text>
    </comment>
  </commentList>
</comments>
</file>

<file path=xl/comments/comment3.xml><?xml version="1.0" encoding="utf-8"?>
<comments xmlns="http://schemas.openxmlformats.org/spreadsheetml/2006/main">
  <authors>
    <author>Instructor Notes</author>
  </authors>
  <commentList>
    <comment ref="J6" authorId="0" shapeId="0">
      <text>
        <t>Include? controls statistics and target valuation: 1=include, 0=exclude.</t>
      </text>
    </comment>
    <comment ref="K6" authorId="0" shapeId="0">
      <text>
        <t>Equity Value @100% = Deal Value ÷ Stake% (as a decimal). Scales partial stakes to full equity value.</t>
      </text>
    </comment>
    <comment ref="L6" authorId="0" shapeId="0">
      <text>
        <t>Enterprise Value (EV) = Equity Value @100% + Net Debt (included deals only).</t>
      </text>
    </comment>
    <comment ref="B18" authorId="0" shapeId="0">
      <text>
        <t>Median uses FILTER (Excel 365+). If unavailable, use helper column or array formula.</t>
      </text>
    </comment>
    <comment ref="E24" authorId="0" shapeId="0">
      <text>
        <t>Price/share: Equity (₹ cr) ÷ Shares (cr) = ₹ per share (units cancel).</t>
      </text>
    </comment>
    <comment ref="E27" authorId="0" shapeId="0">
      <text>
        <t>All checks must PASS. If FAIL, review Include, Stake%, or EBITDA/Revenue values.</t>
      </text>
    </comment>
  </commentList>
</comments>
</file>

<file path=xl/comments/comment4.xml><?xml version="1.0" encoding="utf-8"?>
<comments xmlns="http://schemas.openxmlformats.org/spreadsheetml/2006/main">
  <authors>
    <author>Instructor Notes</author>
  </authors>
  <commentList>
    <comment ref="J6" authorId="0" shapeId="0">
      <text>
        <t>Include? controls statistics and target valuation: 1=include, 0=exclude.</t>
      </text>
    </comment>
    <comment ref="K6" authorId="0" shapeId="0">
      <text>
        <t>Equity Value @100% = Deal Value ÷ Stake% (as a decimal). Scales partial stakes to full equity value.</t>
      </text>
    </comment>
    <comment ref="L6" authorId="0" shapeId="0">
      <text>
        <t>Enterprise Value (EV) = Equity Value @100% + Net Debt (included deals only).</t>
      </text>
    </comment>
    <comment ref="B18" authorId="0" shapeId="0">
      <text>
        <t>Median uses FILTER (Excel 365+). If unavailable, use helper column or array formula.</t>
      </text>
    </comment>
    <comment ref="E24" authorId="0" shapeId="0">
      <text>
        <t>Price/share: Equity (₹ cr) ÷ Shares (cr) = ₹ per share (units cancel).</t>
      </text>
    </comment>
    <comment ref="E27" authorId="0" shapeId="0">
      <text>
        <t>All checks must PASS. If FAIL, review Include, Stake%, or EBITDA/Revenue values.</t>
      </text>
    </comment>
  </commentList>
</comments>
</file>

<file path=xl/comments/comment5.xml><?xml version="1.0" encoding="utf-8"?>
<comments xmlns="http://schemas.openxmlformats.org/spreadsheetml/2006/main">
  <authors>
    <author>Instructor Notes</author>
  </authors>
  <commentList>
    <comment ref="J6" authorId="0" shapeId="0">
      <text>
        <t>Include? controls statistics and target valuation: 1=include, 0=exclude.</t>
      </text>
    </comment>
    <comment ref="K6" authorId="0" shapeId="0">
      <text>
        <t>Equity Value @100% = Deal Value ÷ Stake% (as a decimal). Scales partial stakes to full equity value.</t>
      </text>
    </comment>
    <comment ref="L6" authorId="0" shapeId="0">
      <text>
        <t>Enterprise Value (EV) = Equity Value @100% + Net Debt (included deals only).</t>
      </text>
    </comment>
    <comment ref="B18" authorId="0" shapeId="0">
      <text>
        <t>Median uses FILTER (Excel 365+). If unavailable, use helper column or array formula.</t>
      </text>
    </comment>
    <comment ref="E24" authorId="0" shapeId="0">
      <text>
        <t>Price/share: Equity (₹ cr) ÷ Shares (cr) = ₹ per share (units cancel).</t>
      </text>
    </comment>
    <comment ref="E27" authorId="0" shapeId="0">
      <text>
        <t>All checks must PASS. If FAIL, review Include, Stake%, or EBITDA/Revenue values.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:D1"/>
    </sheetView>
  </sheetViews>
  <sheetFormatPr baseColWidth="8" defaultRowHeight="14.5"/>
  <cols>
    <col width="6" customWidth="1" style="30" min="1" max="1"/>
    <col width="44" customWidth="1" style="30" min="2" max="2"/>
    <col width="70" customWidth="1" style="30" min="3" max="3"/>
    <col width="14" customWidth="1" style="30" min="4" max="4"/>
  </cols>
  <sheetData>
    <row r="1" ht="21" customHeight="1" s="30">
      <c r="A1" s="29" t="inlineStr">
        <is>
          <t>Comparable Transactions (PTM) — Teaching Pack (5 Cases)</t>
        </is>
      </c>
    </row>
    <row r="2"/>
    <row r="3">
      <c r="A3" s="1" t="inlineStr">
        <is>
          <t>Case</t>
        </is>
      </c>
      <c r="B3" s="1" t="inlineStr">
        <is>
          <t>Sheet</t>
        </is>
      </c>
      <c r="C3" s="1" t="inlineStr">
        <is>
          <t>Learning point</t>
        </is>
      </c>
      <c r="D3" s="1" t="inlineStr">
        <is>
          <t>Open</t>
        </is>
      </c>
    </row>
    <row r="4" ht="29" customHeight="1" s="30">
      <c r="A4" s="2" t="inlineStr">
        <is>
          <t>Case 1</t>
        </is>
      </c>
      <c r="B4" s="3" t="inlineStr">
        <is>
          <t>CASE_1_ControlPremium_100pct</t>
        </is>
      </c>
      <c r="C4" s="3" t="inlineStr">
        <is>
          <t>Learning point: EV/EBITDA from 100% acquisitions reflects control premium.</t>
        </is>
      </c>
      <c r="D4" s="4" t="inlineStr">
        <is>
          <t>Open</t>
        </is>
      </c>
    </row>
    <row r="5" ht="29" customHeight="1" s="30">
      <c r="A5" s="2" t="inlineStr">
        <is>
          <t>Case 2</t>
        </is>
      </c>
      <c r="B5" s="3" t="inlineStr">
        <is>
          <t>CASE_2_DealSelection_Include01</t>
        </is>
      </c>
      <c r="C5" s="3" t="inlineStr">
        <is>
          <t>Learning point: Use Deal Type + Include (0/1) to screen transactions before averaging multiples.</t>
        </is>
      </c>
      <c r="D5" s="4" t="inlineStr">
        <is>
          <t>Open</t>
        </is>
      </c>
    </row>
    <row r="6" ht="29" customHeight="1" s="30">
      <c r="A6" s="2" t="inlineStr">
        <is>
          <t>Case 3</t>
        </is>
      </c>
      <c r="B6" s="3" t="inlineStr">
        <is>
          <t>CASE_3_AvgVsMedian_Outliers</t>
        </is>
      </c>
      <c r="C6" s="3" t="inlineStr">
        <is>
          <t>Learning point: Average can be pulled by high-multiple outliers; median is more robust.</t>
        </is>
      </c>
      <c r="D6" s="4" t="inlineStr">
        <is>
          <t>Open</t>
        </is>
      </c>
    </row>
    <row r="7" ht="29" customHeight="1" s="30">
      <c r="A7" s="2" t="inlineStr">
        <is>
          <t>Case 4</t>
        </is>
      </c>
      <c r="B7" s="3" t="inlineStr">
        <is>
          <t>CASE_4_PartialStake_Normalization</t>
        </is>
      </c>
      <c r="C7" s="3" t="inlineStr">
        <is>
          <t>Learning point: Scale partial stake deal values to 100% equity before computing EV multiples.</t>
        </is>
      </c>
      <c r="D7" s="4" t="inlineStr">
        <is>
          <t>Open</t>
        </is>
      </c>
    </row>
    <row r="8" ht="29" customHeight="1" s="30">
      <c r="A8" s="2" t="inlineStr">
        <is>
          <t>Case 5</t>
        </is>
      </c>
      <c r="B8" s="3" t="inlineStr">
        <is>
          <t>CASE_5_Judgment_Integrated</t>
        </is>
      </c>
      <c r="C8" s="3" t="inlineStr">
        <is>
          <t>Learning point: PTM requires judgment: select deals, compute multiples, interpret outputs.</t>
        </is>
      </c>
      <c r="D8" s="4" t="inlineStr">
        <is>
          <t>Open</t>
        </is>
      </c>
    </row>
    <row r="9"/>
    <row r="10"/>
    <row r="11" ht="15.5" customHeight="1" s="30">
      <c r="A11" s="5" t="inlineStr">
        <is>
          <t>Legend:</t>
        </is>
      </c>
    </row>
    <row r="12" ht="29" customHeight="1" s="30">
      <c r="A12" s="6" t="inlineStr">
        <is>
          <t>Inputs</t>
        </is>
      </c>
      <c r="B12" s="7" t="inlineStr">
        <is>
          <t>Calculations</t>
        </is>
      </c>
      <c r="C12" s="8" t="inlineStr">
        <is>
          <t>Outputs</t>
        </is>
      </c>
    </row>
    <row r="13"/>
    <row r="14">
      <c r="A14" s="31" t="inlineStr">
        <is>
          <t>Instruction: In each case sheet, set Include? = 1 for deals you want to use; 0 to exclude.</t>
        </is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2">
    <mergeCell ref="A1:D1"/>
    <mergeCell ref="A14:D14"/>
  </mergeCells>
  <hyperlinks>
    <hyperlink ref="D4" location="'CASE_1_ControlPremium_100pct'!A1" display="Open"/>
    <hyperlink ref="D5" location="'CASE_2_DealSelection_Include01'!A1" display="Open"/>
    <hyperlink ref="D6" location="'CASE_3_AvgVsMedian_Outliers'!A1" display="Open"/>
    <hyperlink ref="D7" location="'CASE_4_PartialStake_Normalization'!A1" display="Open"/>
    <hyperlink ref="D8" location="'CASE_5_Judgment_Integrated'!A1" display="Open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topLeftCell="E1" workbookViewId="0">
      <selection activeCell="A3" sqref="A3:N3"/>
    </sheetView>
  </sheetViews>
  <sheetFormatPr baseColWidth="8" defaultRowHeight="14.5"/>
  <cols>
    <col width="7" customWidth="1" style="30" min="1" max="1"/>
    <col width="26" customWidth="1" style="30" min="2" max="3"/>
    <col width="20" customWidth="1" style="30" min="4" max="4"/>
    <col width="10" customWidth="1" style="30" min="5" max="5"/>
    <col width="16" customWidth="1" style="30" min="6" max="9"/>
    <col width="12" customWidth="1" style="30" min="10" max="10"/>
    <col width="20" customWidth="1" style="30" min="11" max="12"/>
    <col width="12" customWidth="1" style="30" min="13" max="14"/>
  </cols>
  <sheetData>
    <row r="1" ht="21" customHeight="1" s="30">
      <c r="A1" s="29" t="inlineStr">
        <is>
          <t>CASE 1 — Control Premium Embedded in 100% Acquisitions</t>
        </is>
      </c>
    </row>
    <row r="2">
      <c r="N2" s="9" t="inlineStr">
        <is>
          <t>⬅ Back to INDEX</t>
        </is>
      </c>
    </row>
    <row r="3">
      <c r="A3" s="33" t="inlineStr">
        <is>
          <t>Learning point: EV/EBITDA from 100% acquisitions reflects control premium.</t>
        </is>
      </c>
    </row>
    <row r="4"/>
    <row r="5">
      <c r="A5" s="34" t="inlineStr">
        <is>
          <t>SECTION A — Comparable Transactions (Inputs)</t>
        </is>
      </c>
    </row>
    <row r="6" ht="29" customHeight="1" s="30">
      <c r="A6" s="1" t="inlineStr">
        <is>
          <t>Deal Ref</t>
        </is>
      </c>
      <c r="B6" s="1" t="inlineStr">
        <is>
          <t>Acquirer</t>
        </is>
      </c>
      <c r="C6" s="1" t="inlineStr">
        <is>
          <t>Target</t>
        </is>
      </c>
      <c r="D6" s="1" t="inlineStr">
        <is>
          <t>Deal Type</t>
        </is>
      </c>
      <c r="E6" s="1" t="inlineStr">
        <is>
          <t>Stake %</t>
        </is>
      </c>
      <c r="F6" s="1" t="inlineStr">
        <is>
          <t>Deal Value (₹ cr)</t>
        </is>
      </c>
      <c r="G6" s="1" t="inlineStr">
        <is>
          <t>Revenue (₹ cr)</t>
        </is>
      </c>
      <c r="H6" s="1" t="inlineStr">
        <is>
          <t>EBITDA (₹ cr)</t>
        </is>
      </c>
      <c r="I6" s="1" t="inlineStr">
        <is>
          <t>Net Debt (₹ cr)</t>
        </is>
      </c>
      <c r="J6" s="1" t="inlineStr">
        <is>
          <t>Include? (0/1)</t>
        </is>
      </c>
      <c r="K6" s="1" t="inlineStr">
        <is>
          <t>Equity Value @100% (₹ cr)</t>
        </is>
      </c>
      <c r="L6" s="1" t="inlineStr">
        <is>
          <t>Enterprise Value (₹ cr)</t>
        </is>
      </c>
      <c r="M6" s="1" t="inlineStr">
        <is>
          <t>EV/Revenue</t>
        </is>
      </c>
      <c r="N6" s="1" t="inlineStr">
        <is>
          <t>EV/EBITDA</t>
        </is>
      </c>
    </row>
    <row r="7">
      <c r="A7" s="10" t="inlineStr">
        <is>
          <t>D01</t>
        </is>
      </c>
      <c r="B7" s="11" t="inlineStr">
        <is>
          <t>Tata Engineering Ltd.</t>
        </is>
      </c>
      <c r="C7" s="11" t="inlineStr">
        <is>
          <t>Prakash Gears Pvt. Ltd.</t>
        </is>
      </c>
      <c r="D7" s="11" t="inlineStr">
        <is>
          <t>100% Acquisition</t>
        </is>
      </c>
      <c r="E7" s="12" t="n">
        <v>1</v>
      </c>
      <c r="F7" s="13" t="n">
        <v>2400</v>
      </c>
      <c r="G7" s="13" t="n">
        <v>1950</v>
      </c>
      <c r="H7" s="13" t="n">
        <v>260</v>
      </c>
      <c r="I7" s="13" t="n">
        <v>480</v>
      </c>
      <c r="J7" s="10" t="n">
        <v>1</v>
      </c>
      <c r="K7" s="14">
        <f>IF(J7=1,F7/(E7),"")</f>
        <v/>
      </c>
      <c r="L7" s="14">
        <f>IF(J7=1,K7+I7,"")</f>
        <v/>
      </c>
      <c r="M7" s="15">
        <f>IF(J7=1,L7/G7,"")</f>
        <v/>
      </c>
      <c r="N7" s="15">
        <f>IF(J7=1,L7/H7,"")</f>
        <v/>
      </c>
    </row>
    <row r="8">
      <c r="A8" s="10" t="inlineStr">
        <is>
          <t>D02</t>
        </is>
      </c>
      <c r="B8" s="11" t="inlineStr">
        <is>
          <t>Mahindra Mobility Ltd.</t>
        </is>
      </c>
      <c r="C8" s="11" t="inlineStr">
        <is>
          <t>Orion Axles Pvt. Ltd.</t>
        </is>
      </c>
      <c r="D8" s="11" t="inlineStr">
        <is>
          <t>100% Acquisition</t>
        </is>
      </c>
      <c r="E8" s="12" t="n">
        <v>1</v>
      </c>
      <c r="F8" s="13" t="n">
        <v>3200</v>
      </c>
      <c r="G8" s="13" t="n">
        <v>2450</v>
      </c>
      <c r="H8" s="13" t="n">
        <v>310</v>
      </c>
      <c r="I8" s="13" t="n">
        <v>520</v>
      </c>
      <c r="J8" s="10" t="n">
        <v>1</v>
      </c>
      <c r="K8" s="14">
        <f>IF(J8=1,F8/(E8),"")</f>
        <v/>
      </c>
      <c r="L8" s="14">
        <f>IF(J8=1,K8+I8,"")</f>
        <v/>
      </c>
      <c r="M8" s="15">
        <f>IF(J8=1,L8/G8,"")</f>
        <v/>
      </c>
      <c r="N8" s="15">
        <f>IF(J8=1,L8/H8,"")</f>
        <v/>
      </c>
    </row>
    <row r="9">
      <c r="A9" s="10" t="inlineStr">
        <is>
          <t>D03</t>
        </is>
      </c>
      <c r="B9" s="11" t="inlineStr">
        <is>
          <t>Bajaj Auto Systems</t>
        </is>
      </c>
      <c r="C9" s="11" t="inlineStr">
        <is>
          <t>Velocity Motors Pvt. Ltd.</t>
        </is>
      </c>
      <c r="D9" s="11" t="inlineStr">
        <is>
          <t>100% Acquisition</t>
        </is>
      </c>
      <c r="E9" s="12" t="n">
        <v>1</v>
      </c>
      <c r="F9" s="13" t="n">
        <v>1800</v>
      </c>
      <c r="G9" s="13" t="n">
        <v>1420</v>
      </c>
      <c r="H9" s="13" t="n">
        <v>190</v>
      </c>
      <c r="I9" s="13" t="n">
        <v>350</v>
      </c>
      <c r="J9" s="10" t="n">
        <v>1</v>
      </c>
      <c r="K9" s="14">
        <f>IF(J9=1,F9/(E9),"")</f>
        <v/>
      </c>
      <c r="L9" s="14">
        <f>IF(J9=1,K9+I9,"")</f>
        <v/>
      </c>
      <c r="M9" s="15">
        <f>IF(J9=1,L9/G9,"")</f>
        <v/>
      </c>
      <c r="N9" s="15">
        <f>IF(J9=1,L9/H9,"")</f>
        <v/>
      </c>
    </row>
    <row r="10">
      <c r="A10" s="10" t="inlineStr">
        <is>
          <t>D04</t>
        </is>
      </c>
      <c r="B10" s="11" t="inlineStr">
        <is>
          <t>TVS Auto Ltd.</t>
        </is>
      </c>
      <c r="C10" s="11" t="inlineStr">
        <is>
          <t>Supreme Drives Pvt. Ltd.</t>
        </is>
      </c>
      <c r="D10" s="11" t="inlineStr">
        <is>
          <t>100% Acquisition</t>
        </is>
      </c>
      <c r="E10" s="12" t="n">
        <v>1</v>
      </c>
      <c r="F10" s="13" t="n">
        <v>2750</v>
      </c>
      <c r="G10" s="13" t="n">
        <v>2100</v>
      </c>
      <c r="H10" s="13" t="n">
        <v>280</v>
      </c>
      <c r="I10" s="13" t="n">
        <v>460</v>
      </c>
      <c r="J10" s="10" t="n">
        <v>1</v>
      </c>
      <c r="K10" s="14">
        <f>IF(J10=1,F10/(E10),"")</f>
        <v/>
      </c>
      <c r="L10" s="14">
        <f>IF(J10=1,K10+I10,"")</f>
        <v/>
      </c>
      <c r="M10" s="15">
        <f>IF(J10=1,L10/G10,"")</f>
        <v/>
      </c>
      <c r="N10" s="15">
        <f>IF(J10=1,L10/H10,"")</f>
        <v/>
      </c>
    </row>
    <row r="11">
      <c r="A11" s="10" t="inlineStr">
        <is>
          <t>D05</t>
        </is>
      </c>
      <c r="B11" s="11" t="inlineStr">
        <is>
          <t>Hero Engineering</t>
        </is>
      </c>
      <c r="C11" s="11" t="inlineStr">
        <is>
          <t>Alpha Components Pvt. Ltd.</t>
        </is>
      </c>
      <c r="D11" s="11" t="inlineStr">
        <is>
          <t>100% Acquisition</t>
        </is>
      </c>
      <c r="E11" s="12" t="n">
        <v>1</v>
      </c>
      <c r="F11" s="13" t="n">
        <v>3500</v>
      </c>
      <c r="G11" s="13" t="n">
        <v>2700</v>
      </c>
      <c r="H11" s="13" t="n">
        <v>340</v>
      </c>
      <c r="I11" s="13" t="n">
        <v>600</v>
      </c>
      <c r="J11" s="10" t="n">
        <v>1</v>
      </c>
      <c r="K11" s="14">
        <f>IF(J11=1,F11/(E11),"")</f>
        <v/>
      </c>
      <c r="L11" s="14">
        <f>IF(J11=1,K11+I11,"")</f>
        <v/>
      </c>
      <c r="M11" s="15">
        <f>IF(J11=1,L11/G11,"")</f>
        <v/>
      </c>
      <c r="N11" s="15">
        <f>IF(J11=1,L11/H11,"")</f>
        <v/>
      </c>
    </row>
    <row r="12">
      <c r="A12" s="10" t="inlineStr">
        <is>
          <t>D06</t>
        </is>
      </c>
      <c r="B12" s="11" t="inlineStr">
        <is>
          <t>Ashok Leyland Engg.</t>
        </is>
      </c>
      <c r="C12" s="11" t="inlineStr">
        <is>
          <t>Nova Auto Parts Pvt. Ltd.</t>
        </is>
      </c>
      <c r="D12" s="11" t="inlineStr">
        <is>
          <t>100% Acquisition</t>
        </is>
      </c>
      <c r="E12" s="12" t="n">
        <v>1</v>
      </c>
      <c r="F12" s="13" t="n">
        <v>1650</v>
      </c>
      <c r="G12" s="13" t="n">
        <v>1300</v>
      </c>
      <c r="H12" s="13" t="n">
        <v>170</v>
      </c>
      <c r="I12" s="13" t="n">
        <v>300</v>
      </c>
      <c r="J12" s="10" t="n">
        <v>1</v>
      </c>
      <c r="K12" s="14">
        <f>IF(J12=1,F12/(E12),"")</f>
        <v/>
      </c>
      <c r="L12" s="14">
        <f>IF(J12=1,K12+I12,"")</f>
        <v/>
      </c>
      <c r="M12" s="15">
        <f>IF(J12=1,L12/G12,"")</f>
        <v/>
      </c>
      <c r="N12" s="15">
        <f>IF(J12=1,L12/H12,"")</f>
        <v/>
      </c>
    </row>
    <row r="13">
      <c r="A13" s="10" t="inlineStr">
        <is>
          <t>D07</t>
        </is>
      </c>
      <c r="B13" s="11" t="inlineStr">
        <is>
          <t>Eicher Motors</t>
        </is>
      </c>
      <c r="C13" s="11" t="inlineStr">
        <is>
          <t>Precision Wheels Pvt. Ltd.</t>
        </is>
      </c>
      <c r="D13" s="11" t="inlineStr">
        <is>
          <t>100% Acquisition</t>
        </is>
      </c>
      <c r="E13" s="12" t="n">
        <v>1</v>
      </c>
      <c r="F13" s="13" t="n">
        <v>2200</v>
      </c>
      <c r="G13" s="13" t="n">
        <v>1750</v>
      </c>
      <c r="H13" s="13" t="n">
        <v>230</v>
      </c>
      <c r="I13" s="13" t="n">
        <v>410</v>
      </c>
      <c r="J13" s="10" t="n">
        <v>1</v>
      </c>
      <c r="K13" s="14">
        <f>IF(J13=1,F13/(E13),"")</f>
        <v/>
      </c>
      <c r="L13" s="14">
        <f>IF(J13=1,K13+I13,"")</f>
        <v/>
      </c>
      <c r="M13" s="15">
        <f>IF(J13=1,L13/G13,"")</f>
        <v/>
      </c>
      <c r="N13" s="15">
        <f>IF(J13=1,L13/H13,"")</f>
        <v/>
      </c>
    </row>
    <row r="14">
      <c r="A14" s="10" t="inlineStr">
        <is>
          <t>D08</t>
        </is>
      </c>
      <c r="B14" s="11" t="inlineStr">
        <is>
          <t>Sona Mobility Ltd.</t>
        </is>
      </c>
      <c r="C14" s="11" t="inlineStr">
        <is>
          <t>Apex Transmissions Pvt. Ltd.</t>
        </is>
      </c>
      <c r="D14" s="11" t="inlineStr">
        <is>
          <t>100% Acquisition</t>
        </is>
      </c>
      <c r="E14" s="12" t="n">
        <v>1</v>
      </c>
      <c r="F14" s="13" t="n">
        <v>2950</v>
      </c>
      <c r="G14" s="13" t="n">
        <v>2250</v>
      </c>
      <c r="H14" s="13" t="n">
        <v>300</v>
      </c>
      <c r="I14" s="13" t="n">
        <v>510</v>
      </c>
      <c r="J14" s="10" t="n">
        <v>1</v>
      </c>
      <c r="K14" s="14">
        <f>IF(J14=1,F14/(E14),"")</f>
        <v/>
      </c>
      <c r="L14" s="14">
        <f>IF(J14=1,K14+I14,"")</f>
        <v/>
      </c>
      <c r="M14" s="15">
        <f>IF(J14=1,L14/G14,"")</f>
        <v/>
      </c>
      <c r="N14" s="15">
        <f>IF(J14=1,L14/H14,"")</f>
        <v/>
      </c>
    </row>
    <row r="15"/>
    <row r="16">
      <c r="A16" s="34" t="inlineStr">
        <is>
          <t>SECTION B — Descriptive Statistics (Selected Deals Only)</t>
        </is>
      </c>
    </row>
    <row r="17">
      <c r="A17" s="16" t="inlineStr">
        <is>
          <t>Average EV/EBITDA</t>
        </is>
      </c>
      <c r="B17" s="17">
        <f>AVERAGEIF(J7:J14,1,N7:N14)</f>
        <v/>
      </c>
      <c r="D17" s="16" t="inlineStr">
        <is>
          <t>Included deals (count)</t>
        </is>
      </c>
      <c r="E17" s="18">
        <f>COUNTIF(J7:J14,1)</f>
        <v/>
      </c>
    </row>
    <row r="18">
      <c r="A18" s="16" t="inlineStr">
        <is>
          <t>Median EV/EBITDA</t>
        </is>
      </c>
      <c r="B18" s="17" t="n"/>
    </row>
    <row r="19"/>
    <row r="20">
      <c r="A20" s="34" t="inlineStr">
        <is>
          <t>SECTION C — Target Company Valuation (Using EV/EBITDA)</t>
        </is>
      </c>
    </row>
    <row r="21" ht="29" customHeight="1" s="30">
      <c r="A21" s="19" t="inlineStr">
        <is>
          <t>Target Company</t>
        </is>
      </c>
      <c r="B21" s="11" t="inlineStr">
        <is>
          <t>Shakti Auto Components Pvt. Ltd.</t>
        </is>
      </c>
      <c r="D21" s="5" t="inlineStr">
        <is>
          <t>Using Average Multiple</t>
        </is>
      </c>
      <c r="G21" s="5" t="inlineStr">
        <is>
          <t>Using Median Multiple</t>
        </is>
      </c>
    </row>
    <row r="22">
      <c r="A22" s="19" t="inlineStr">
        <is>
          <t>Target EBITDA (₹ cr)</t>
        </is>
      </c>
      <c r="B22" s="20" t="n">
        <v>180</v>
      </c>
      <c r="D22" s="19" t="inlineStr">
        <is>
          <t>Implied EV (₹ cr)</t>
        </is>
      </c>
      <c r="E22" s="21">
        <f>B17*B22</f>
        <v/>
      </c>
      <c r="G22" s="19" t="inlineStr">
        <is>
          <t>Implied EV (₹ cr)</t>
        </is>
      </c>
      <c r="H22" s="21">
        <f>B18*B22</f>
        <v/>
      </c>
    </row>
    <row r="23">
      <c r="A23" s="19" t="inlineStr">
        <is>
          <t>Target Net Debt (₹ cr)</t>
        </is>
      </c>
      <c r="B23" s="20" t="n">
        <v>420</v>
      </c>
      <c r="D23" s="19" t="inlineStr">
        <is>
          <t>Implied Equity Value (₹ cr)</t>
        </is>
      </c>
      <c r="E23" s="21">
        <f>E22-B23</f>
        <v/>
      </c>
      <c r="G23" s="19" t="inlineStr">
        <is>
          <t>Implied Equity Value (₹ cr)</t>
        </is>
      </c>
      <c r="H23" s="21">
        <f>H22-B23</f>
        <v/>
      </c>
    </row>
    <row r="24">
      <c r="A24" s="19" t="inlineStr">
        <is>
          <t>Shares Outstanding (cr)</t>
        </is>
      </c>
      <c r="B24" s="22" t="n">
        <v>12</v>
      </c>
      <c r="D24" s="19" t="inlineStr">
        <is>
          <t>Implied Price per Share (₹)</t>
        </is>
      </c>
      <c r="E24" s="23">
        <f>(E23)/(B24)</f>
        <v/>
      </c>
      <c r="G24" s="19" t="inlineStr">
        <is>
          <t>Implied Price per Share (₹)</t>
        </is>
      </c>
      <c r="H24" s="23">
        <f>(H23)/(B24)</f>
        <v/>
      </c>
    </row>
    <row r="25"/>
    <row r="26">
      <c r="A26" s="34" t="inlineStr">
        <is>
          <t>SECTION D — Checks</t>
        </is>
      </c>
    </row>
    <row r="27" ht="87" customHeight="1" s="30">
      <c r="A27" s="24" t="inlineStr">
        <is>
          <t>Check 1: At least 3 deals included</t>
        </is>
      </c>
      <c r="B27" s="25">
        <f>IF(E17&gt;=3,"PASS","FAIL")</f>
        <v/>
      </c>
      <c r="D27" s="5" t="inlineStr">
        <is>
          <t>Case Status</t>
        </is>
      </c>
      <c r="E27" s="25">
        <f>IF(AND(B27="PASS",B28="PASS",B29="PASS"),"PASS","FAIL")</f>
        <v/>
      </c>
    </row>
    <row r="28" ht="87" customHeight="1" s="30">
      <c r="A28" s="24" t="inlineStr">
        <is>
          <t>Check 2: No DIV/0! in EV/EBITDA</t>
        </is>
      </c>
      <c r="B28" s="25">
        <f>IF(COUNTIF(N7:N14,"#DIV/0!")=0,"PASS","FAIL")</f>
        <v/>
      </c>
    </row>
    <row r="29" ht="130.5" customHeight="1" s="30">
      <c r="A29" s="24" t="inlineStr">
        <is>
          <t>Check 3: Included stakes between 0% and 100%</t>
        </is>
      </c>
      <c r="B29" s="25">
        <f>IF(SUMPRODUCT(--(J7:J14=1),--((E7:E14&lt;=0)+(E7:E14&gt;1)))=0,"PASS","FAIL")</f>
        <v/>
      </c>
    </row>
    <row r="30"/>
    <row r="31">
      <c r="A31" s="32" t="inlineStr">
        <is>
          <t>⬅ Back to INDEX</t>
        </is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7">
    <mergeCell ref="A3:N3"/>
    <mergeCell ref="A26:N26"/>
    <mergeCell ref="A20:N20"/>
    <mergeCell ref="A16:N16"/>
    <mergeCell ref="A5:N5"/>
    <mergeCell ref="A31:B31"/>
    <mergeCell ref="A1:N1"/>
  </mergeCells>
  <hyperlinks>
    <hyperlink ref="N2" location="'INDEX'!A1" display="⬅ Back to INDEX"/>
    <hyperlink ref="A31" location="'INDEX'!A1" display="⬅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topLeftCell="E1" workbookViewId="0">
      <selection activeCell="A1" sqref="A1:N1"/>
    </sheetView>
  </sheetViews>
  <sheetFormatPr baseColWidth="8" defaultRowHeight="14.5"/>
  <cols>
    <col width="7" customWidth="1" style="30" min="1" max="1"/>
    <col width="26" customWidth="1" style="30" min="2" max="3"/>
    <col width="20" customWidth="1" style="30" min="4" max="4"/>
    <col width="10" customWidth="1" style="30" min="5" max="5"/>
    <col width="16" customWidth="1" style="30" min="6" max="9"/>
    <col width="12" customWidth="1" style="30" min="10" max="10"/>
    <col width="20" customWidth="1" style="30" min="11" max="12"/>
    <col width="12" customWidth="1" style="30" min="13" max="14"/>
  </cols>
  <sheetData>
    <row r="1" ht="21" customHeight="1" s="30">
      <c r="A1" s="29" t="inlineStr">
        <is>
          <t>CASE 2 — Deal Selection Using Transaction Characteristics</t>
        </is>
      </c>
    </row>
    <row r="2">
      <c r="N2" s="9" t="inlineStr">
        <is>
          <t>⬅ Back to INDEX</t>
        </is>
      </c>
    </row>
    <row r="3">
      <c r="A3" s="33" t="inlineStr">
        <is>
          <t>Learning point: Use Deal Type + Include (0/1) to screen transactions before averaging multiples.</t>
        </is>
      </c>
    </row>
    <row r="4"/>
    <row r="5">
      <c r="A5" s="34" t="inlineStr">
        <is>
          <t>SECTION A — Comparable Transactions (Inputs)</t>
        </is>
      </c>
    </row>
    <row r="6" ht="29" customHeight="1" s="30">
      <c r="A6" s="1" t="inlineStr">
        <is>
          <t>Deal Ref</t>
        </is>
      </c>
      <c r="B6" s="1" t="inlineStr">
        <is>
          <t>Acquirer</t>
        </is>
      </c>
      <c r="C6" s="1" t="inlineStr">
        <is>
          <t>Target</t>
        </is>
      </c>
      <c r="D6" s="1" t="inlineStr">
        <is>
          <t>Deal Type</t>
        </is>
      </c>
      <c r="E6" s="1" t="inlineStr">
        <is>
          <t>Stake %</t>
        </is>
      </c>
      <c r="F6" s="1" t="inlineStr">
        <is>
          <t>Deal Value (₹ cr)</t>
        </is>
      </c>
      <c r="G6" s="1" t="inlineStr">
        <is>
          <t>Revenue (₹ cr)</t>
        </is>
      </c>
      <c r="H6" s="1" t="inlineStr">
        <is>
          <t>EBITDA (₹ cr)</t>
        </is>
      </c>
      <c r="I6" s="1" t="inlineStr">
        <is>
          <t>Net Debt (₹ cr)</t>
        </is>
      </c>
      <c r="J6" s="1" t="inlineStr">
        <is>
          <t>Include? (0/1)</t>
        </is>
      </c>
      <c r="K6" s="1" t="inlineStr">
        <is>
          <t>Equity Value @100% (₹ cr)</t>
        </is>
      </c>
      <c r="L6" s="1" t="inlineStr">
        <is>
          <t>Enterprise Value (₹ cr)</t>
        </is>
      </c>
      <c r="M6" s="1" t="inlineStr">
        <is>
          <t>EV/Revenue</t>
        </is>
      </c>
      <c r="N6" s="1" t="inlineStr">
        <is>
          <t>EV/EBITDA</t>
        </is>
      </c>
    </row>
    <row r="7">
      <c r="A7" s="10" t="inlineStr">
        <is>
          <t>D01</t>
        </is>
      </c>
      <c r="B7" s="11" t="inlineStr">
        <is>
          <t>Reliance Retail</t>
        </is>
      </c>
      <c r="C7" s="11" t="inlineStr">
        <is>
          <t>CityMart Pvt. Ltd.</t>
        </is>
      </c>
      <c r="D7" s="11" t="inlineStr">
        <is>
          <t>Strategic Acquisition</t>
        </is>
      </c>
      <c r="E7" s="12" t="n">
        <v>1</v>
      </c>
      <c r="F7" s="13" t="n">
        <v>1200</v>
      </c>
      <c r="G7" s="13" t="n">
        <v>1050</v>
      </c>
      <c r="H7" s="13" t="n">
        <v>120</v>
      </c>
      <c r="I7" s="13" t="n">
        <v>200</v>
      </c>
      <c r="J7" s="10" t="n">
        <v>1</v>
      </c>
      <c r="K7" s="14">
        <f>IF(J7=1,F7/(E7),"")</f>
        <v/>
      </c>
      <c r="L7" s="14">
        <f>IF(J7=1,K7+I7,"")</f>
        <v/>
      </c>
      <c r="M7" s="15">
        <f>IF(J7=1,L7/G7,"")</f>
        <v/>
      </c>
      <c r="N7" s="15">
        <f>IF(J7=1,L7/H7,"")</f>
        <v/>
      </c>
    </row>
    <row r="8">
      <c r="A8" s="10" t="inlineStr">
        <is>
          <t>D02</t>
        </is>
      </c>
      <c r="B8" s="11" t="inlineStr">
        <is>
          <t>Avenue Supermarts</t>
        </is>
      </c>
      <c r="C8" s="11" t="inlineStr">
        <is>
          <t>FreshBasket Pvt. Ltd.</t>
        </is>
      </c>
      <c r="D8" s="11" t="inlineStr">
        <is>
          <t>Majority Stake</t>
        </is>
      </c>
      <c r="E8" s="12" t="n">
        <v>0.6</v>
      </c>
      <c r="F8" s="13" t="n">
        <v>950</v>
      </c>
      <c r="G8" s="13" t="n">
        <v>980</v>
      </c>
      <c r="H8" s="13" t="n">
        <v>110</v>
      </c>
      <c r="I8" s="13" t="n">
        <v>180</v>
      </c>
      <c r="J8" s="10" t="n">
        <v>1</v>
      </c>
      <c r="K8" s="14">
        <f>IF(J8=1,F8/(E8),"")</f>
        <v/>
      </c>
      <c r="L8" s="14">
        <f>IF(J8=1,K8+I8,"")</f>
        <v/>
      </c>
      <c r="M8" s="15">
        <f>IF(J8=1,L8/G8,"")</f>
        <v/>
      </c>
      <c r="N8" s="15">
        <f>IF(J8=1,L8/H8,"")</f>
        <v/>
      </c>
    </row>
    <row r="9">
      <c r="A9" s="10" t="inlineStr">
        <is>
          <t>D03</t>
        </is>
      </c>
      <c r="B9" s="11" t="inlineStr">
        <is>
          <t>Future Ventures</t>
        </is>
      </c>
      <c r="C9" s="11" t="inlineStr">
        <is>
          <t>ValueShop Pvt. Ltd.</t>
        </is>
      </c>
      <c r="D9" s="11" t="inlineStr">
        <is>
          <t>Minority Stake</t>
        </is>
      </c>
      <c r="E9" s="12" t="n">
        <v>0.45</v>
      </c>
      <c r="F9" s="13" t="n">
        <v>700</v>
      </c>
      <c r="G9" s="13" t="n">
        <v>820</v>
      </c>
      <c r="H9" s="13" t="n">
        <v>95</v>
      </c>
      <c r="I9" s="13" t="n">
        <v>160</v>
      </c>
      <c r="J9" s="10" t="n">
        <v>1</v>
      </c>
      <c r="K9" s="14">
        <f>IF(J9=1,F9/(E9),"")</f>
        <v/>
      </c>
      <c r="L9" s="14">
        <f>IF(J9=1,K9+I9,"")</f>
        <v/>
      </c>
      <c r="M9" s="15">
        <f>IF(J9=1,L9/G9,"")</f>
        <v/>
      </c>
      <c r="N9" s="15">
        <f>IF(J9=1,L9/H9,"")</f>
        <v/>
      </c>
    </row>
    <row r="10">
      <c r="A10" s="10" t="inlineStr">
        <is>
          <t>D04</t>
        </is>
      </c>
      <c r="B10" s="11" t="inlineStr">
        <is>
          <t>Tata Consumer Retail</t>
        </is>
      </c>
      <c r="C10" s="11" t="inlineStr">
        <is>
          <t>UrbanNeeds Pvt. Ltd.</t>
        </is>
      </c>
      <c r="D10" s="11" t="inlineStr">
        <is>
          <t>Strategic Acquisition</t>
        </is>
      </c>
      <c r="E10" s="12" t="n">
        <v>1</v>
      </c>
      <c r="F10" s="13" t="n">
        <v>1500</v>
      </c>
      <c r="G10" s="13" t="n">
        <v>1300</v>
      </c>
      <c r="H10" s="13" t="n">
        <v>150</v>
      </c>
      <c r="I10" s="13" t="n">
        <v>260</v>
      </c>
      <c r="J10" s="10" t="n">
        <v>1</v>
      </c>
      <c r="K10" s="14">
        <f>IF(J10=1,F10/(E10),"")</f>
        <v/>
      </c>
      <c r="L10" s="14">
        <f>IF(J10=1,K10+I10,"")</f>
        <v/>
      </c>
      <c r="M10" s="15">
        <f>IF(J10=1,L10/G10,"")</f>
        <v/>
      </c>
      <c r="N10" s="15">
        <f>IF(J10=1,L10/H10,"")</f>
        <v/>
      </c>
    </row>
    <row r="11" ht="29" customHeight="1" s="30">
      <c r="A11" s="10" t="inlineStr">
        <is>
          <t>D05</t>
        </is>
      </c>
      <c r="B11" s="11" t="inlineStr">
        <is>
          <t>KKR India</t>
        </is>
      </c>
      <c r="C11" s="11" t="inlineStr">
        <is>
          <t>MegaRetail Pvt. Ltd.</t>
        </is>
      </c>
      <c r="D11" s="11" t="inlineStr">
        <is>
          <t>Leveraged Buyout (LBO)</t>
        </is>
      </c>
      <c r="E11" s="12" t="n">
        <v>0.75</v>
      </c>
      <c r="F11" s="13" t="n">
        <v>1100</v>
      </c>
      <c r="G11" s="13" t="n">
        <v>1000</v>
      </c>
      <c r="H11" s="13" t="n">
        <v>130</v>
      </c>
      <c r="I11" s="13" t="n">
        <v>220</v>
      </c>
      <c r="J11" s="10" t="n">
        <v>1</v>
      </c>
      <c r="K11" s="14">
        <f>IF(J11=1,F11/(E11),"")</f>
        <v/>
      </c>
      <c r="L11" s="14">
        <f>IF(J11=1,K11+I11,"")</f>
        <v/>
      </c>
      <c r="M11" s="15">
        <f>IF(J11=1,L11/G11,"")</f>
        <v/>
      </c>
      <c r="N11" s="15">
        <f>IF(J11=1,L11/H11,"")</f>
        <v/>
      </c>
    </row>
    <row r="12">
      <c r="A12" s="10" t="inlineStr">
        <is>
          <t>D06</t>
        </is>
      </c>
      <c r="B12" s="11" t="inlineStr">
        <is>
          <t>Aditya Birla Retail</t>
        </is>
      </c>
      <c r="C12" s="11" t="inlineStr">
        <is>
          <t>DailyChoice Pvt. Ltd.</t>
        </is>
      </c>
      <c r="D12" s="11" t="inlineStr">
        <is>
          <t>Strategic Acquisition</t>
        </is>
      </c>
      <c r="E12" s="12" t="n">
        <v>1</v>
      </c>
      <c r="F12" s="13" t="n">
        <v>850</v>
      </c>
      <c r="G12" s="13" t="n">
        <v>900</v>
      </c>
      <c r="H12" s="13" t="n">
        <v>100</v>
      </c>
      <c r="I12" s="13" t="n">
        <v>170</v>
      </c>
      <c r="J12" s="10" t="n">
        <v>1</v>
      </c>
      <c r="K12" s="14">
        <f>IF(J12=1,F12/(E12),"")</f>
        <v/>
      </c>
      <c r="L12" s="14">
        <f>IF(J12=1,K12+I12,"")</f>
        <v/>
      </c>
      <c r="M12" s="15">
        <f>IF(J12=1,L12/G12,"")</f>
        <v/>
      </c>
      <c r="N12" s="15">
        <f>IF(J12=1,L12/H12,"")</f>
        <v/>
      </c>
    </row>
    <row r="13">
      <c r="A13" s="10" t="inlineStr">
        <is>
          <t>D07</t>
        </is>
      </c>
      <c r="B13" s="11" t="inlineStr">
        <is>
          <t>Amazon India</t>
        </is>
      </c>
      <c r="C13" s="11" t="inlineStr">
        <is>
          <t>QuickBuy Pvt. Ltd.</t>
        </is>
      </c>
      <c r="D13" s="11" t="inlineStr">
        <is>
          <t>Strategic Acquisition</t>
        </is>
      </c>
      <c r="E13" s="12" t="n">
        <v>1</v>
      </c>
      <c r="F13" s="13" t="n">
        <v>1400</v>
      </c>
      <c r="G13" s="13" t="n">
        <v>1200</v>
      </c>
      <c r="H13" s="13" t="n">
        <v>140</v>
      </c>
      <c r="I13" s="13" t="n">
        <v>240</v>
      </c>
      <c r="J13" s="10" t="n">
        <v>1</v>
      </c>
      <c r="K13" s="14">
        <f>IF(J13=1,F13/(E13),"")</f>
        <v/>
      </c>
      <c r="L13" s="14">
        <f>IF(J13=1,K13+I13,"")</f>
        <v/>
      </c>
      <c r="M13" s="15">
        <f>IF(J13=1,L13/G13,"")</f>
        <v/>
      </c>
      <c r="N13" s="15">
        <f>IF(J13=1,L13/H13,"")</f>
        <v/>
      </c>
    </row>
    <row r="14">
      <c r="A14" s="10" t="inlineStr">
        <is>
          <t>D08</t>
        </is>
      </c>
      <c r="B14" s="11" t="inlineStr">
        <is>
          <t>Flipkart Group</t>
        </is>
      </c>
      <c r="C14" s="11" t="inlineStr">
        <is>
          <t>EasyShop Pvt. Ltd.</t>
        </is>
      </c>
      <c r="D14" s="11" t="inlineStr">
        <is>
          <t>Deal Incomplete</t>
        </is>
      </c>
      <c r="E14" s="12" t="n">
        <v>0.5</v>
      </c>
      <c r="F14" s="13" t="n">
        <v>780</v>
      </c>
      <c r="G14" s="13" t="n">
        <v>860</v>
      </c>
      <c r="H14" s="13" t="n">
        <v>105</v>
      </c>
      <c r="I14" s="13" t="n">
        <v>190</v>
      </c>
      <c r="J14" s="10" t="n">
        <v>1</v>
      </c>
      <c r="K14" s="14">
        <f>IF(J14=1,F14/(E14),"")</f>
        <v/>
      </c>
      <c r="L14" s="14">
        <f>IF(J14=1,K14+I14,"")</f>
        <v/>
      </c>
      <c r="M14" s="15">
        <f>IF(J14=1,L14/G14,"")</f>
        <v/>
      </c>
      <c r="N14" s="15">
        <f>IF(J14=1,L14/H14,"")</f>
        <v/>
      </c>
    </row>
    <row r="15"/>
    <row r="16">
      <c r="A16" s="34" t="inlineStr">
        <is>
          <t>SECTION B — Descriptive Statistics (Selected Deals Only)</t>
        </is>
      </c>
    </row>
    <row r="17">
      <c r="A17" s="16" t="inlineStr">
        <is>
          <t>Average EV/EBITDA</t>
        </is>
      </c>
      <c r="B17" s="17">
        <f>AVERAGEIF(J7:J14,1,N7:N14)</f>
        <v/>
      </c>
      <c r="D17" s="16" t="inlineStr">
        <is>
          <t>Included deals (count)</t>
        </is>
      </c>
      <c r="E17" s="18">
        <f>COUNTIF(J7:J14,1)</f>
        <v/>
      </c>
    </row>
    <row r="18">
      <c r="A18" s="16" t="inlineStr">
        <is>
          <t>Median EV/EBITDA</t>
        </is>
      </c>
      <c r="B18" s="17" t="n"/>
    </row>
    <row r="19"/>
    <row r="20">
      <c r="A20" s="34" t="inlineStr">
        <is>
          <t>SECTION C — Target Company Valuation (Using EV/EBITDA)</t>
        </is>
      </c>
    </row>
    <row r="21" ht="15.5" customHeight="1" s="30">
      <c r="A21" s="19" t="inlineStr">
        <is>
          <t>Target Company</t>
        </is>
      </c>
      <c r="B21" s="11" t="inlineStr">
        <is>
          <t>LMN Stores Pvt. Ltd.</t>
        </is>
      </c>
      <c r="D21" s="5" t="inlineStr">
        <is>
          <t>Using Average Multiple</t>
        </is>
      </c>
      <c r="G21" s="5" t="inlineStr">
        <is>
          <t>Using Median Multiple</t>
        </is>
      </c>
    </row>
    <row r="22">
      <c r="A22" s="19" t="inlineStr">
        <is>
          <t>Target EBITDA (₹ cr)</t>
        </is>
      </c>
      <c r="B22" s="20" t="n">
        <v>95</v>
      </c>
      <c r="D22" s="19" t="inlineStr">
        <is>
          <t>Implied EV (₹ cr)</t>
        </is>
      </c>
      <c r="E22" s="21">
        <f>B17*B22</f>
        <v/>
      </c>
      <c r="G22" s="19" t="inlineStr">
        <is>
          <t>Implied EV (₹ cr)</t>
        </is>
      </c>
      <c r="H22" s="21">
        <f>B18*B22</f>
        <v/>
      </c>
    </row>
    <row r="23">
      <c r="A23" s="19" t="inlineStr">
        <is>
          <t>Target Net Debt (₹ cr)</t>
        </is>
      </c>
      <c r="B23" s="20" t="n">
        <v>210</v>
      </c>
      <c r="D23" s="19" t="inlineStr">
        <is>
          <t>Implied Equity Value (₹ cr)</t>
        </is>
      </c>
      <c r="E23" s="21">
        <f>E22-B23</f>
        <v/>
      </c>
      <c r="G23" s="19" t="inlineStr">
        <is>
          <t>Implied Equity Value (₹ cr)</t>
        </is>
      </c>
      <c r="H23" s="21">
        <f>H22-B23</f>
        <v/>
      </c>
    </row>
    <row r="24">
      <c r="A24" s="19" t="inlineStr">
        <is>
          <t>Shares Outstanding (cr)</t>
        </is>
      </c>
      <c r="B24" s="22" t="n">
        <v>6</v>
      </c>
      <c r="D24" s="19" t="inlineStr">
        <is>
          <t>Implied Price per Share (₹)</t>
        </is>
      </c>
      <c r="E24" s="23">
        <f>(E23)/(B24)</f>
        <v/>
      </c>
      <c r="G24" s="19" t="inlineStr">
        <is>
          <t>Implied Price per Share (₹)</t>
        </is>
      </c>
      <c r="H24" s="23">
        <f>(H23)/(B24)</f>
        <v/>
      </c>
    </row>
    <row r="25"/>
    <row r="26">
      <c r="A26" s="34" t="inlineStr">
        <is>
          <t>SECTION D — Checks</t>
        </is>
      </c>
    </row>
    <row r="27" ht="87" customHeight="1" s="30">
      <c r="A27" s="24" t="inlineStr">
        <is>
          <t>Check 1: At least 3 deals included</t>
        </is>
      </c>
      <c r="B27" s="25">
        <f>IF(E17&gt;=3,"PASS","FAIL")</f>
        <v/>
      </c>
      <c r="D27" s="5" t="inlineStr">
        <is>
          <t>Case Status</t>
        </is>
      </c>
      <c r="E27" s="25">
        <f>IF(AND(B27="PASS",B28="PASS",B29="PASS"),"PASS","FAIL")</f>
        <v/>
      </c>
    </row>
    <row r="28" ht="87" customHeight="1" s="30">
      <c r="A28" s="24" t="inlineStr">
        <is>
          <t>Check 2: No DIV/0! in EV/EBITDA</t>
        </is>
      </c>
      <c r="B28" s="25">
        <f>IF(COUNTIF(N7:N14,"#DIV/0!")=0,"PASS","FAIL")</f>
        <v/>
      </c>
    </row>
    <row r="29" ht="130.5" customHeight="1" s="30">
      <c r="A29" s="24" t="inlineStr">
        <is>
          <t>Check 3: Included stakes between 0% and 100%</t>
        </is>
      </c>
      <c r="B29" s="25">
        <f>IF(SUMPRODUCT(--(J7:J14=1),--((E7:E14&lt;=0)+(E7:E14&gt;1)))=0,"PASS","FAIL")</f>
        <v/>
      </c>
    </row>
    <row r="30"/>
    <row r="31">
      <c r="A31" s="32" t="inlineStr">
        <is>
          <t>⬅ Back to INDEX</t>
        </is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7">
    <mergeCell ref="A3:N3"/>
    <mergeCell ref="A26:N26"/>
    <mergeCell ref="A20:N20"/>
    <mergeCell ref="A16:N16"/>
    <mergeCell ref="A5:N5"/>
    <mergeCell ref="A31:B31"/>
    <mergeCell ref="A1:N1"/>
  </mergeCells>
  <hyperlinks>
    <hyperlink ref="N2" location="'INDEX'!A1" display="⬅ Back to INDEX"/>
    <hyperlink ref="A31" location="'INDEX'!A1" display="⬅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:N1"/>
    </sheetView>
  </sheetViews>
  <sheetFormatPr baseColWidth="8" defaultRowHeight="14.5"/>
  <cols>
    <col width="7" customWidth="1" style="30" min="1" max="1"/>
    <col width="26" customWidth="1" style="30" min="2" max="3"/>
    <col width="20" customWidth="1" style="30" min="4" max="4"/>
    <col width="10" customWidth="1" style="30" min="5" max="5"/>
    <col width="16" customWidth="1" style="30" min="6" max="9"/>
    <col width="12" customWidth="1" style="30" min="10" max="10"/>
    <col width="20" customWidth="1" style="30" min="11" max="12"/>
    <col width="12" customWidth="1" style="30" min="13" max="14"/>
  </cols>
  <sheetData>
    <row r="1" ht="21" customHeight="1" s="30">
      <c r="A1" s="29" t="inlineStr">
        <is>
          <t>CASE 3 — Average vs Median Multiples (Outliers)</t>
        </is>
      </c>
    </row>
    <row r="2">
      <c r="N2" s="9" t="inlineStr">
        <is>
          <t>⬅ Back to INDEX</t>
        </is>
      </c>
    </row>
    <row r="3">
      <c r="A3" s="33" t="inlineStr">
        <is>
          <t>Learning point: Average can be pulled by high-multiple outliers; median is more robust.</t>
        </is>
      </c>
    </row>
    <row r="4"/>
    <row r="5">
      <c r="A5" s="34" t="inlineStr">
        <is>
          <t>SECTION A — Comparable Transactions (Inputs)</t>
        </is>
      </c>
    </row>
    <row r="6" ht="29" customHeight="1" s="30">
      <c r="A6" s="1" t="inlineStr">
        <is>
          <t>Deal Ref</t>
        </is>
      </c>
      <c r="B6" s="1" t="inlineStr">
        <is>
          <t>Acquirer</t>
        </is>
      </c>
      <c r="C6" s="1" t="inlineStr">
        <is>
          <t>Target</t>
        </is>
      </c>
      <c r="D6" s="1" t="inlineStr">
        <is>
          <t>Deal Type</t>
        </is>
      </c>
      <c r="E6" s="1" t="inlineStr">
        <is>
          <t>Stake %</t>
        </is>
      </c>
      <c r="F6" s="1" t="inlineStr">
        <is>
          <t>Deal Value (₹ cr)</t>
        </is>
      </c>
      <c r="G6" s="1" t="inlineStr">
        <is>
          <t>Revenue (₹ cr)</t>
        </is>
      </c>
      <c r="H6" s="1" t="inlineStr">
        <is>
          <t>EBITDA (₹ cr)</t>
        </is>
      </c>
      <c r="I6" s="1" t="inlineStr">
        <is>
          <t>Net Debt (₹ cr)</t>
        </is>
      </c>
      <c r="J6" s="1" t="inlineStr">
        <is>
          <t>Include? (0/1)</t>
        </is>
      </c>
      <c r="K6" s="1" t="inlineStr">
        <is>
          <t>Equity Value @100% (₹ cr)</t>
        </is>
      </c>
      <c r="L6" s="1" t="inlineStr">
        <is>
          <t>Enterprise Value (₹ cr)</t>
        </is>
      </c>
      <c r="M6" s="1" t="inlineStr">
        <is>
          <t>EV/Revenue</t>
        </is>
      </c>
      <c r="N6" s="1" t="inlineStr">
        <is>
          <t>EV/EBITDA</t>
        </is>
      </c>
    </row>
    <row r="7">
      <c r="A7" s="10" t="inlineStr">
        <is>
          <t>D01</t>
        </is>
      </c>
      <c r="B7" s="11" t="inlineStr">
        <is>
          <t>Sun Pharma</t>
        </is>
      </c>
      <c r="C7" s="11" t="inlineStr">
        <is>
          <t>Medigen Labs Pvt. Ltd.</t>
        </is>
      </c>
      <c r="D7" s="11" t="inlineStr">
        <is>
          <t>Strategic</t>
        </is>
      </c>
      <c r="E7" s="12" t="n">
        <v>1</v>
      </c>
      <c r="F7" s="13" t="n">
        <v>2100</v>
      </c>
      <c r="G7" s="13" t="n">
        <v>1600</v>
      </c>
      <c r="H7" s="13" t="n">
        <v>210</v>
      </c>
      <c r="I7" s="13" t="n">
        <v>420</v>
      </c>
      <c r="J7" s="10" t="n">
        <v>1</v>
      </c>
      <c r="K7" s="14">
        <f>IF(J7=1,F7/(E7),"")</f>
        <v/>
      </c>
      <c r="L7" s="14">
        <f>IF(J7=1,K7+I7,"")</f>
        <v/>
      </c>
      <c r="M7" s="15">
        <f>IF(J7=1,L7/G7,"")</f>
        <v/>
      </c>
      <c r="N7" s="15">
        <f>IF(J7=1,L7/H7,"")</f>
        <v/>
      </c>
    </row>
    <row r="8">
      <c r="A8" s="10" t="inlineStr">
        <is>
          <t>D02</t>
        </is>
      </c>
      <c r="B8" s="11" t="inlineStr">
        <is>
          <t>Pfizer India</t>
        </is>
      </c>
      <c r="C8" s="11" t="inlineStr">
        <is>
          <t>CureWell Pharma Pvt. Ltd.</t>
        </is>
      </c>
      <c r="D8" s="11" t="inlineStr">
        <is>
          <t>MNC Acquisition</t>
        </is>
      </c>
      <c r="E8" s="12" t="n">
        <v>1</v>
      </c>
      <c r="F8" s="13" t="n">
        <v>3800</v>
      </c>
      <c r="G8" s="13" t="n">
        <v>2400</v>
      </c>
      <c r="H8" s="13" t="n">
        <v>260</v>
      </c>
      <c r="I8" s="13" t="n">
        <v>500</v>
      </c>
      <c r="J8" s="10" t="n">
        <v>1</v>
      </c>
      <c r="K8" s="14">
        <f>IF(J8=1,F8/(E8),"")</f>
        <v/>
      </c>
      <c r="L8" s="14">
        <f>IF(J8=1,K8+I8,"")</f>
        <v/>
      </c>
      <c r="M8" s="15">
        <f>IF(J8=1,L8/G8,"")</f>
        <v/>
      </c>
      <c r="N8" s="15">
        <f>IF(J8=1,L8/H8,"")</f>
        <v/>
      </c>
    </row>
    <row r="9">
      <c r="A9" s="10" t="inlineStr">
        <is>
          <t>D03</t>
        </is>
      </c>
      <c r="B9" s="11" t="inlineStr">
        <is>
          <t>Cipla Ltd.</t>
        </is>
      </c>
      <c r="C9" s="11" t="inlineStr">
        <is>
          <t>BioHealth Pvt. Ltd.</t>
        </is>
      </c>
      <c r="D9" s="11" t="inlineStr">
        <is>
          <t>Strategic</t>
        </is>
      </c>
      <c r="E9" s="12" t="n">
        <v>1</v>
      </c>
      <c r="F9" s="13" t="n">
        <v>1750</v>
      </c>
      <c r="G9" s="13" t="n">
        <v>1350</v>
      </c>
      <c r="H9" s="13" t="n">
        <v>180</v>
      </c>
      <c r="I9" s="13" t="n">
        <v>360</v>
      </c>
      <c r="J9" s="10" t="n">
        <v>1</v>
      </c>
      <c r="K9" s="14">
        <f>IF(J9=1,F9/(E9),"")</f>
        <v/>
      </c>
      <c r="L9" s="14">
        <f>IF(J9=1,K9+I9,"")</f>
        <v/>
      </c>
      <c r="M9" s="15">
        <f>IF(J9=1,L9/G9,"")</f>
        <v/>
      </c>
      <c r="N9" s="15">
        <f>IF(J9=1,L9/H9,"")</f>
        <v/>
      </c>
    </row>
    <row r="10">
      <c r="A10" s="10" t="inlineStr">
        <is>
          <t>D04</t>
        </is>
      </c>
      <c r="B10" s="11" t="inlineStr">
        <is>
          <t>Novartis India</t>
        </is>
      </c>
      <c r="C10" s="11" t="inlineStr">
        <is>
          <t>LifeCare Pharma Pvt. Ltd.</t>
        </is>
      </c>
      <c r="D10" s="11" t="inlineStr">
        <is>
          <t>MNC Acquisition</t>
        </is>
      </c>
      <c r="E10" s="12" t="n">
        <v>1</v>
      </c>
      <c r="F10" s="13" t="n">
        <v>4200</v>
      </c>
      <c r="G10" s="13" t="n">
        <v>2700</v>
      </c>
      <c r="H10" s="13" t="n">
        <v>280</v>
      </c>
      <c r="I10" s="13" t="n">
        <v>540</v>
      </c>
      <c r="J10" s="10" t="n">
        <v>1</v>
      </c>
      <c r="K10" s="14">
        <f>IF(J10=1,F10/(E10),"")</f>
        <v/>
      </c>
      <c r="L10" s="14">
        <f>IF(J10=1,K10+I10,"")</f>
        <v/>
      </c>
      <c r="M10" s="15">
        <f>IF(J10=1,L10/G10,"")</f>
        <v/>
      </c>
      <c r="N10" s="15">
        <f>IF(J10=1,L10/H10,"")</f>
        <v/>
      </c>
    </row>
    <row r="11">
      <c r="A11" s="10" t="inlineStr">
        <is>
          <t>D05</t>
        </is>
      </c>
      <c r="B11" s="11" t="inlineStr">
        <is>
          <t>Dr. Reddy’s Labs</t>
        </is>
      </c>
      <c r="C11" s="11" t="inlineStr">
        <is>
          <t>PureDrugs Pvt. Ltd.</t>
        </is>
      </c>
      <c r="D11" s="11" t="inlineStr">
        <is>
          <t>Strategic</t>
        </is>
      </c>
      <c r="E11" s="12" t="n">
        <v>1</v>
      </c>
      <c r="F11" s="13" t="n">
        <v>2300</v>
      </c>
      <c r="G11" s="13" t="n">
        <v>1800</v>
      </c>
      <c r="H11" s="13" t="n">
        <v>220</v>
      </c>
      <c r="I11" s="13" t="n">
        <v>410</v>
      </c>
      <c r="J11" s="10" t="n">
        <v>1</v>
      </c>
      <c r="K11" s="14">
        <f>IF(J11=1,F11/(E11),"")</f>
        <v/>
      </c>
      <c r="L11" s="14">
        <f>IF(J11=1,K11+I11,"")</f>
        <v/>
      </c>
      <c r="M11" s="15">
        <f>IF(J11=1,L11/G11,"")</f>
        <v/>
      </c>
      <c r="N11" s="15">
        <f>IF(J11=1,L11/H11,"")</f>
        <v/>
      </c>
    </row>
    <row r="12">
      <c r="A12" s="10" t="inlineStr">
        <is>
          <t>D06</t>
        </is>
      </c>
      <c r="B12" s="11" t="inlineStr">
        <is>
          <t>Lupin Ltd.</t>
        </is>
      </c>
      <c r="C12" s="11" t="inlineStr">
        <is>
          <t>WellGen Pharma Pvt. Ltd.</t>
        </is>
      </c>
      <c r="D12" s="11" t="inlineStr">
        <is>
          <t>Strategic</t>
        </is>
      </c>
      <c r="E12" s="12" t="n">
        <v>1</v>
      </c>
      <c r="F12" s="13" t="n">
        <v>1600</v>
      </c>
      <c r="G12" s="13" t="n">
        <v>1250</v>
      </c>
      <c r="H12" s="13" t="n">
        <v>160</v>
      </c>
      <c r="I12" s="13" t="n">
        <v>300</v>
      </c>
      <c r="J12" s="10" t="n">
        <v>1</v>
      </c>
      <c r="K12" s="14">
        <f>IF(J12=1,F12/(E12),"")</f>
        <v/>
      </c>
      <c r="L12" s="14">
        <f>IF(J12=1,K12+I12,"")</f>
        <v/>
      </c>
      <c r="M12" s="15">
        <f>IF(J12=1,L12/G12,"")</f>
        <v/>
      </c>
      <c r="N12" s="15">
        <f>IF(J12=1,L12/H12,"")</f>
        <v/>
      </c>
    </row>
    <row r="13">
      <c r="A13" s="10" t="inlineStr">
        <is>
          <t>D07</t>
        </is>
      </c>
      <c r="B13" s="11" t="inlineStr">
        <is>
          <t>Aurobindo Pharma</t>
        </is>
      </c>
      <c r="C13" s="11" t="inlineStr">
        <is>
          <t>NovaCure Pvt. Ltd.</t>
        </is>
      </c>
      <c r="D13" s="11" t="inlineStr">
        <is>
          <t>Strategic</t>
        </is>
      </c>
      <c r="E13" s="12" t="n">
        <v>1</v>
      </c>
      <c r="F13" s="13" t="n">
        <v>2050</v>
      </c>
      <c r="G13" s="13" t="n">
        <v>1550</v>
      </c>
      <c r="H13" s="13" t="n">
        <v>200</v>
      </c>
      <c r="I13" s="13" t="n">
        <v>390</v>
      </c>
      <c r="J13" s="10" t="n">
        <v>1</v>
      </c>
      <c r="K13" s="14">
        <f>IF(J13=1,F13/(E13),"")</f>
        <v/>
      </c>
      <c r="L13" s="14">
        <f>IF(J13=1,K13+I13,"")</f>
        <v/>
      </c>
      <c r="M13" s="15">
        <f>IF(J13=1,L13/G13,"")</f>
        <v/>
      </c>
      <c r="N13" s="15">
        <f>IF(J13=1,L13/H13,"")</f>
        <v/>
      </c>
    </row>
    <row r="14">
      <c r="A14" s="10" t="inlineStr">
        <is>
          <t>D08</t>
        </is>
      </c>
      <c r="B14" s="11" t="inlineStr">
        <is>
          <t>Glenmark Pharma</t>
        </is>
      </c>
      <c r="C14" s="11" t="inlineStr">
        <is>
          <t>Healix Pharma Pvt. Ltd.</t>
        </is>
      </c>
      <c r="D14" s="11" t="inlineStr">
        <is>
          <t>Strategic</t>
        </is>
      </c>
      <c r="E14" s="12" t="n">
        <v>1</v>
      </c>
      <c r="F14" s="13" t="n">
        <v>1900</v>
      </c>
      <c r="G14" s="13" t="n">
        <v>1450</v>
      </c>
      <c r="H14" s="13" t="n">
        <v>190</v>
      </c>
      <c r="I14" s="13" t="n">
        <v>350</v>
      </c>
      <c r="J14" s="10" t="n">
        <v>1</v>
      </c>
      <c r="K14" s="14">
        <f>IF(J14=1,F14/(E14),"")</f>
        <v/>
      </c>
      <c r="L14" s="14">
        <f>IF(J14=1,K14+I14,"")</f>
        <v/>
      </c>
      <c r="M14" s="15">
        <f>IF(J14=1,L14/G14,"")</f>
        <v/>
      </c>
      <c r="N14" s="15">
        <f>IF(J14=1,L14/H14,"")</f>
        <v/>
      </c>
    </row>
    <row r="15"/>
    <row r="16">
      <c r="A16" s="34" t="inlineStr">
        <is>
          <t>SECTION B — Descriptive Statistics (Selected Deals Only)</t>
        </is>
      </c>
    </row>
    <row r="17">
      <c r="A17" s="16" t="inlineStr">
        <is>
          <t>Average EV/EBITDA</t>
        </is>
      </c>
      <c r="B17" s="17">
        <f>AVERAGEIF(J7:J14,1,N7:N14)</f>
        <v/>
      </c>
      <c r="D17" s="16" t="inlineStr">
        <is>
          <t>Included deals (count)</t>
        </is>
      </c>
      <c r="E17" s="18">
        <f>COUNTIF(J7:J14,1)</f>
        <v/>
      </c>
    </row>
    <row r="18">
      <c r="A18" s="16" t="inlineStr">
        <is>
          <t>Median EV/EBITDA</t>
        </is>
      </c>
      <c r="B18" s="17" t="n"/>
    </row>
    <row r="19"/>
    <row r="20">
      <c r="A20" s="34" t="inlineStr">
        <is>
          <t>SECTION C — Target Company Valuation (Using EV/EBITDA)</t>
        </is>
      </c>
    </row>
    <row r="21" ht="15.5" customHeight="1" s="30">
      <c r="A21" s="19" t="inlineStr">
        <is>
          <t>Target Company</t>
        </is>
      </c>
      <c r="B21" s="11" t="inlineStr">
        <is>
          <t>GHI Pharma Pvt. Ltd.</t>
        </is>
      </c>
      <c r="D21" s="5" t="inlineStr">
        <is>
          <t>Using Average Multiple</t>
        </is>
      </c>
      <c r="G21" s="5" t="inlineStr">
        <is>
          <t>Using Median Multiple</t>
        </is>
      </c>
    </row>
    <row r="22">
      <c r="A22" s="19" t="inlineStr">
        <is>
          <t>Target EBITDA (₹ cr)</t>
        </is>
      </c>
      <c r="B22" s="20" t="n">
        <v>140</v>
      </c>
      <c r="D22" s="19" t="inlineStr">
        <is>
          <t>Implied EV (₹ cr)</t>
        </is>
      </c>
      <c r="E22" s="21">
        <f>B17*B22</f>
        <v/>
      </c>
      <c r="G22" s="19" t="inlineStr">
        <is>
          <t>Implied EV (₹ cr)</t>
        </is>
      </c>
      <c r="H22" s="21">
        <f>B18*B22</f>
        <v/>
      </c>
    </row>
    <row r="23">
      <c r="A23" s="19" t="inlineStr">
        <is>
          <t>Target Net Debt (₹ cr)</t>
        </is>
      </c>
      <c r="B23" s="20" t="n">
        <v>300</v>
      </c>
      <c r="D23" s="19" t="inlineStr">
        <is>
          <t>Implied Equity Value (₹ cr)</t>
        </is>
      </c>
      <c r="E23" s="21">
        <f>E22-B23</f>
        <v/>
      </c>
      <c r="G23" s="19" t="inlineStr">
        <is>
          <t>Implied Equity Value (₹ cr)</t>
        </is>
      </c>
      <c r="H23" s="21">
        <f>H22-B23</f>
        <v/>
      </c>
    </row>
    <row r="24">
      <c r="A24" s="19" t="inlineStr">
        <is>
          <t>Shares Outstanding (cr)</t>
        </is>
      </c>
      <c r="B24" s="22" t="n">
        <v>10</v>
      </c>
      <c r="D24" s="19" t="inlineStr">
        <is>
          <t>Implied Price per Share (₹)</t>
        </is>
      </c>
      <c r="E24" s="23">
        <f>(E23)/(B24)</f>
        <v/>
      </c>
      <c r="G24" s="19" t="inlineStr">
        <is>
          <t>Implied Price per Share (₹)</t>
        </is>
      </c>
      <c r="H24" s="23">
        <f>(H23)/(B24)</f>
        <v/>
      </c>
    </row>
    <row r="25"/>
    <row r="26">
      <c r="A26" s="34" t="inlineStr">
        <is>
          <t>SECTION D — Checks</t>
        </is>
      </c>
    </row>
    <row r="27" ht="87" customHeight="1" s="30">
      <c r="A27" s="24" t="inlineStr">
        <is>
          <t>Check 1: At least 3 deals included</t>
        </is>
      </c>
      <c r="B27" s="25">
        <f>IF(E17&gt;=3,"PASS","FAIL")</f>
        <v/>
      </c>
      <c r="D27" s="5" t="inlineStr">
        <is>
          <t>Case Status</t>
        </is>
      </c>
      <c r="E27" s="25">
        <f>IF(AND(B27="PASS",B28="PASS",B29="PASS"),"PASS","FAIL")</f>
        <v/>
      </c>
    </row>
    <row r="28" ht="87" customHeight="1" s="30">
      <c r="A28" s="24" t="inlineStr">
        <is>
          <t>Check 2: No DIV/0! in EV/EBITDA</t>
        </is>
      </c>
      <c r="B28" s="25">
        <f>IF(COUNTIF(N7:N14,"#DIV/0!")=0,"PASS","FAIL")</f>
        <v/>
      </c>
    </row>
    <row r="29" ht="130.5" customHeight="1" s="30">
      <c r="A29" s="24" t="inlineStr">
        <is>
          <t>Check 3: Included stakes between 0% and 100%</t>
        </is>
      </c>
      <c r="B29" s="25">
        <f>IF(SUMPRODUCT(--(J7:J14=1),--((E7:E14&lt;=0)+(E7:E14&gt;1)))=0,"PASS","FAIL")</f>
        <v/>
      </c>
    </row>
    <row r="30"/>
    <row r="31">
      <c r="A31" s="32" t="inlineStr">
        <is>
          <t>⬅ Back to INDEX</t>
        </is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7">
    <mergeCell ref="A3:N3"/>
    <mergeCell ref="A26:N26"/>
    <mergeCell ref="A20:N20"/>
    <mergeCell ref="A16:N16"/>
    <mergeCell ref="A5:N5"/>
    <mergeCell ref="A31:B31"/>
    <mergeCell ref="A1:N1"/>
  </mergeCells>
  <hyperlinks>
    <hyperlink ref="N2" location="'INDEX'!A1" display="⬅ Back to INDEX"/>
    <hyperlink ref="A31" location="'INDEX'!A1" display="⬅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topLeftCell="C1" workbookViewId="0">
      <selection activeCell="K7" sqref="K7"/>
    </sheetView>
  </sheetViews>
  <sheetFormatPr baseColWidth="8" defaultRowHeight="14.5"/>
  <cols>
    <col width="7" customWidth="1" style="30" min="1" max="1"/>
    <col width="26" customWidth="1" style="30" min="2" max="3"/>
    <col width="20" customWidth="1" style="30" min="4" max="4"/>
    <col width="10" customWidth="1" style="30" min="5" max="5"/>
    <col width="16" customWidth="1" style="30" min="6" max="9"/>
    <col width="12" customWidth="1" style="30" min="10" max="10"/>
    <col width="20" customWidth="1" style="30" min="11" max="12"/>
    <col width="12" customWidth="1" style="30" min="13" max="14"/>
  </cols>
  <sheetData>
    <row r="1" ht="21" customHeight="1" s="30">
      <c r="A1" s="29" t="inlineStr">
        <is>
          <t>CASE 4 — Normalising Partial Stake Deals to 100% Equity Value</t>
        </is>
      </c>
    </row>
    <row r="2">
      <c r="N2" s="9" t="inlineStr">
        <is>
          <t>⬅ Back to INDEX</t>
        </is>
      </c>
    </row>
    <row r="3">
      <c r="A3" s="33" t="inlineStr">
        <is>
          <t>Learning point: Scale partial stake deal values to 100% equity before computing EV multiples.</t>
        </is>
      </c>
    </row>
    <row r="4"/>
    <row r="5">
      <c r="A5" s="34" t="inlineStr">
        <is>
          <t>SECTION A — Comparable Transactions (Inputs)</t>
        </is>
      </c>
    </row>
    <row r="6" ht="29" customHeight="1" s="30">
      <c r="A6" s="1" t="inlineStr">
        <is>
          <t>Deal Ref</t>
        </is>
      </c>
      <c r="B6" s="1" t="inlineStr">
        <is>
          <t>Acquirer</t>
        </is>
      </c>
      <c r="C6" s="1" t="inlineStr">
        <is>
          <t>Target</t>
        </is>
      </c>
      <c r="D6" s="1" t="inlineStr">
        <is>
          <t>Deal Type</t>
        </is>
      </c>
      <c r="E6" s="1" t="inlineStr">
        <is>
          <t>Stake %</t>
        </is>
      </c>
      <c r="F6" s="1" t="inlineStr">
        <is>
          <t>Deal Value (₹ cr)</t>
        </is>
      </c>
      <c r="G6" s="1" t="inlineStr">
        <is>
          <t>Revenue (₹ cr)</t>
        </is>
      </c>
      <c r="H6" s="1" t="inlineStr">
        <is>
          <t>EBITDA (₹ cr)</t>
        </is>
      </c>
      <c r="I6" s="1" t="inlineStr">
        <is>
          <t>Net Debt (₹ cr)</t>
        </is>
      </c>
      <c r="J6" s="1" t="inlineStr">
        <is>
          <t>Include? (0/1)</t>
        </is>
      </c>
      <c r="K6" s="1" t="inlineStr">
        <is>
          <t>Equity Value @100% (₹ cr)</t>
        </is>
      </c>
      <c r="L6" s="1" t="inlineStr">
        <is>
          <t>Enterprise Value (₹ cr)</t>
        </is>
      </c>
      <c r="M6" s="1" t="inlineStr">
        <is>
          <t>EV/Revenue</t>
        </is>
      </c>
      <c r="N6" s="1" t="inlineStr">
        <is>
          <t>EV/EBITDA</t>
        </is>
      </c>
    </row>
    <row r="7">
      <c r="A7" s="10" t="inlineStr">
        <is>
          <t>D01</t>
        </is>
      </c>
      <c r="B7" s="11" t="inlineStr">
        <is>
          <t>L&amp;T Ltd.</t>
        </is>
      </c>
      <c r="C7" s="11" t="inlineStr">
        <is>
          <t>Eastern BuildCo Pvt. Ltd.</t>
        </is>
      </c>
      <c r="D7" s="11" t="inlineStr">
        <is>
          <t>Majority Stake</t>
        </is>
      </c>
      <c r="E7" s="12" t="n">
        <v>0.7</v>
      </c>
      <c r="F7" s="13" t="n">
        <v>1400</v>
      </c>
      <c r="G7" s="13" t="n">
        <v>2100</v>
      </c>
      <c r="H7" s="13" t="n">
        <v>260</v>
      </c>
      <c r="I7" s="13" t="n">
        <v>780</v>
      </c>
      <c r="J7" s="10" t="n">
        <v>1</v>
      </c>
      <c r="K7" s="14">
        <f>IF(J7=1,F7/(E7),"")</f>
        <v/>
      </c>
      <c r="L7" s="14">
        <f>IF(J7=1,K7+I7,"")</f>
        <v/>
      </c>
      <c r="M7" s="15">
        <f>IF(J7=1,L7/G7,"")</f>
        <v/>
      </c>
      <c r="N7" s="15">
        <f>IF(J7=1,L7/H7,"")</f>
        <v/>
      </c>
    </row>
    <row r="8">
      <c r="A8" s="10" t="inlineStr">
        <is>
          <t>D02</t>
        </is>
      </c>
      <c r="B8" s="11" t="inlineStr">
        <is>
          <t>GMR Group</t>
        </is>
      </c>
      <c r="C8" s="11" t="inlineStr">
        <is>
          <t>Skyline Infra Pvt. Ltd.</t>
        </is>
      </c>
      <c r="D8" s="11" t="inlineStr">
        <is>
          <t>Majority Stake</t>
        </is>
      </c>
      <c r="E8" s="12" t="n">
        <v>0.6</v>
      </c>
      <c r="F8" s="13" t="n">
        <v>1800</v>
      </c>
      <c r="G8" s="13" t="n">
        <v>2400</v>
      </c>
      <c r="H8" s="13" t="n">
        <v>300</v>
      </c>
      <c r="I8" s="13" t="n">
        <v>850</v>
      </c>
      <c r="J8" s="10" t="n">
        <v>1</v>
      </c>
      <c r="K8" s="14">
        <f>IF(J8=1,F8/(E8),"")</f>
        <v/>
      </c>
      <c r="L8" s="14">
        <f>IF(J8=1,K8+I8,"")</f>
        <v/>
      </c>
      <c r="M8" s="15">
        <f>IF(J8=1,L8/G8,"")</f>
        <v/>
      </c>
      <c r="N8" s="15">
        <f>IF(J8=1,L8/H8,"")</f>
        <v/>
      </c>
    </row>
    <row r="9">
      <c r="A9" s="10" t="inlineStr">
        <is>
          <t>D03</t>
        </is>
      </c>
      <c r="B9" s="11" t="inlineStr">
        <is>
          <t>Adani Infra</t>
        </is>
      </c>
      <c r="C9" s="11" t="inlineStr">
        <is>
          <t>MetroWorks Pvt. Ltd.</t>
        </is>
      </c>
      <c r="D9" s="11" t="inlineStr">
        <is>
          <t>Full Acquisition</t>
        </is>
      </c>
      <c r="E9" s="12" t="n">
        <v>1</v>
      </c>
      <c r="F9" s="13" t="n">
        <v>2200</v>
      </c>
      <c r="G9" s="13" t="n">
        <v>2800</v>
      </c>
      <c r="H9" s="13" t="n">
        <v>340</v>
      </c>
      <c r="I9" s="13" t="n">
        <v>920</v>
      </c>
      <c r="J9" s="10" t="n">
        <v>1</v>
      </c>
      <c r="K9" s="14">
        <f>IF(J9=1,F9/(E9),"")</f>
        <v/>
      </c>
      <c r="L9" s="14">
        <f>IF(J9=1,K9+I9,"")</f>
        <v/>
      </c>
      <c r="M9" s="15">
        <f>IF(J9=1,L9/G9,"")</f>
        <v/>
      </c>
      <c r="N9" s="15">
        <f>IF(J9=1,L9/H9,"")</f>
        <v/>
      </c>
    </row>
    <row r="10">
      <c r="A10" s="10" t="inlineStr">
        <is>
          <t>D04</t>
        </is>
      </c>
      <c r="B10" s="11" t="inlineStr">
        <is>
          <t>IRB Infrastructure</t>
        </is>
      </c>
      <c r="C10" s="11" t="inlineStr">
        <is>
          <t>RoadLink Pvt. Ltd.</t>
        </is>
      </c>
      <c r="D10" s="11" t="inlineStr">
        <is>
          <t>Majority Stake</t>
        </is>
      </c>
      <c r="E10" s="12" t="n">
        <v>0.55</v>
      </c>
      <c r="F10" s="13" t="n">
        <v>1250</v>
      </c>
      <c r="G10" s="13" t="n">
        <v>1900</v>
      </c>
      <c r="H10" s="13" t="n">
        <v>230</v>
      </c>
      <c r="I10" s="13" t="n">
        <v>700</v>
      </c>
      <c r="J10" s="10" t="n">
        <v>1</v>
      </c>
      <c r="K10" s="14">
        <f>IF(J10=1,F10/(E10),"")</f>
        <v/>
      </c>
      <c r="L10" s="14">
        <f>IF(J10=1,K10+I10,"")</f>
        <v/>
      </c>
      <c r="M10" s="15">
        <f>IF(J10=1,L10/G10,"")</f>
        <v/>
      </c>
      <c r="N10" s="15">
        <f>IF(J10=1,L10/H10,"")</f>
        <v/>
      </c>
    </row>
    <row r="11">
      <c r="A11" s="10" t="inlineStr">
        <is>
          <t>D05</t>
        </is>
      </c>
      <c r="B11" s="11" t="inlineStr">
        <is>
          <t>NCC Ltd.</t>
        </is>
      </c>
      <c r="C11" s="11" t="inlineStr">
        <is>
          <t>PowerBuild Pvt. Ltd.</t>
        </is>
      </c>
      <c r="D11" s="11" t="inlineStr">
        <is>
          <t>Full Acquisition</t>
        </is>
      </c>
      <c r="E11" s="12" t="n">
        <v>1</v>
      </c>
      <c r="F11" s="13" t="n">
        <v>2600</v>
      </c>
      <c r="G11" s="13" t="n">
        <v>3100</v>
      </c>
      <c r="H11" s="13" t="n">
        <v>380</v>
      </c>
      <c r="I11" s="13" t="n">
        <v>1050</v>
      </c>
      <c r="J11" s="10" t="n">
        <v>1</v>
      </c>
      <c r="K11" s="14">
        <f>IF(J11=1,F11/(E11),"")</f>
        <v/>
      </c>
      <c r="L11" s="14">
        <f>IF(J11=1,K11+I11,"")</f>
        <v/>
      </c>
      <c r="M11" s="15">
        <f>IF(J11=1,L11/G11,"")</f>
        <v/>
      </c>
      <c r="N11" s="15">
        <f>IF(J11=1,L11/H11,"")</f>
        <v/>
      </c>
    </row>
    <row r="12">
      <c r="A12" s="10" t="inlineStr">
        <is>
          <t>D06</t>
        </is>
      </c>
      <c r="B12" s="11" t="inlineStr">
        <is>
          <t>Dilip Buildcon</t>
        </is>
      </c>
      <c r="C12" s="11" t="inlineStr">
        <is>
          <t>UrbanConstruct Pvt. Ltd.</t>
        </is>
      </c>
      <c r="D12" s="11" t="inlineStr">
        <is>
          <t>Majority Stake</t>
        </is>
      </c>
      <c r="E12" s="12" t="n">
        <v>0.65</v>
      </c>
      <c r="F12" s="13" t="n">
        <v>1500</v>
      </c>
      <c r="G12" s="13" t="n">
        <v>2200</v>
      </c>
      <c r="H12" s="13" t="n">
        <v>270</v>
      </c>
      <c r="I12" s="13" t="n">
        <v>810</v>
      </c>
      <c r="J12" s="10" t="n">
        <v>1</v>
      </c>
      <c r="K12" s="14">
        <f>IF(J12=1,F12/(E12),"")</f>
        <v/>
      </c>
      <c r="L12" s="14">
        <f>IF(J12=1,K12+I12,"")</f>
        <v/>
      </c>
      <c r="M12" s="15">
        <f>IF(J12=1,L12/G12,"")</f>
        <v/>
      </c>
      <c r="N12" s="15">
        <f>IF(J12=1,L12/H12,"")</f>
        <v/>
      </c>
    </row>
    <row r="13">
      <c r="A13" s="10" t="inlineStr">
        <is>
          <t>D07</t>
        </is>
      </c>
      <c r="B13" s="11" t="inlineStr">
        <is>
          <t>Ashoka Buildcon</t>
        </is>
      </c>
      <c r="C13" s="11" t="inlineStr">
        <is>
          <t>Highway Systems Pvt. Ltd.</t>
        </is>
      </c>
      <c r="D13" s="11" t="inlineStr">
        <is>
          <t>Majority Stake</t>
        </is>
      </c>
      <c r="E13" s="12" t="n">
        <v>0.75</v>
      </c>
      <c r="F13" s="13" t="n">
        <v>1350</v>
      </c>
      <c r="G13" s="13" t="n">
        <v>2000</v>
      </c>
      <c r="H13" s="13" t="n">
        <v>250</v>
      </c>
      <c r="I13" s="13" t="n">
        <v>760</v>
      </c>
      <c r="J13" s="10" t="n">
        <v>1</v>
      </c>
      <c r="K13" s="14">
        <f>IF(J13=1,F13/(E13),"")</f>
        <v/>
      </c>
      <c r="L13" s="14">
        <f>IF(J13=1,K13+I13,"")</f>
        <v/>
      </c>
      <c r="M13" s="15">
        <f>IF(J13=1,L13/G13,"")</f>
        <v/>
      </c>
      <c r="N13" s="15">
        <f>IF(J13=1,L13/H13,"")</f>
        <v/>
      </c>
    </row>
    <row r="14">
      <c r="A14" s="10" t="inlineStr">
        <is>
          <t>D08</t>
        </is>
      </c>
      <c r="B14" s="11" t="inlineStr">
        <is>
          <t>Tata Projects</t>
        </is>
      </c>
      <c r="C14" s="11" t="inlineStr">
        <is>
          <t>InfraCore Pvt. Ltd.</t>
        </is>
      </c>
      <c r="D14" s="11" t="inlineStr">
        <is>
          <t>Full Acquisition</t>
        </is>
      </c>
      <c r="E14" s="12" t="n">
        <v>1</v>
      </c>
      <c r="F14" s="13" t="n">
        <v>2400</v>
      </c>
      <c r="G14" s="13" t="n">
        <v>2900</v>
      </c>
      <c r="H14" s="13" t="n">
        <v>360</v>
      </c>
      <c r="I14" s="13" t="n">
        <v>980</v>
      </c>
      <c r="J14" s="10" t="n">
        <v>1</v>
      </c>
      <c r="K14" s="14">
        <f>IF(J14=1,F14/(E14),"")</f>
        <v/>
      </c>
      <c r="L14" s="14">
        <f>IF(J14=1,K14+I14,"")</f>
        <v/>
      </c>
      <c r="M14" s="15">
        <f>IF(J14=1,L14/G14,"")</f>
        <v/>
      </c>
      <c r="N14" s="15">
        <f>IF(J14=1,L14/H14,"")</f>
        <v/>
      </c>
    </row>
    <row r="15"/>
    <row r="16">
      <c r="A16" s="34" t="inlineStr">
        <is>
          <t>SECTION B — Descriptive Statistics (Selected Deals Only)</t>
        </is>
      </c>
    </row>
    <row r="17">
      <c r="A17" s="16" t="inlineStr">
        <is>
          <t>Average EV/EBITDA</t>
        </is>
      </c>
      <c r="B17" s="17">
        <f>AVERAGEIF(J7:J14,1,N7:N14)</f>
        <v/>
      </c>
      <c r="D17" s="16" t="inlineStr">
        <is>
          <t>Included deals (count)</t>
        </is>
      </c>
      <c r="E17" s="18">
        <f>COUNTIF(J7:J14,1)</f>
        <v/>
      </c>
    </row>
    <row r="18">
      <c r="A18" s="16" t="inlineStr">
        <is>
          <t>Median EV/EBITDA</t>
        </is>
      </c>
      <c r="B18" s="17" t="n"/>
    </row>
    <row r="19"/>
    <row r="20">
      <c r="A20" s="34" t="inlineStr">
        <is>
          <t>SECTION C — Target Company Valuation (Using EV/EBITDA)</t>
        </is>
      </c>
    </row>
    <row r="21" ht="15.5" customHeight="1" s="30">
      <c r="A21" s="19" t="inlineStr">
        <is>
          <t>Target Company</t>
        </is>
      </c>
      <c r="B21" s="11" t="inlineStr">
        <is>
          <t>MNO Projects Pvt. Ltd.</t>
        </is>
      </c>
      <c r="D21" s="5" t="inlineStr">
        <is>
          <t>Using Average Multiple</t>
        </is>
      </c>
      <c r="G21" s="5" t="inlineStr">
        <is>
          <t>Using Median Multiple</t>
        </is>
      </c>
    </row>
    <row r="22">
      <c r="A22" s="19" t="inlineStr">
        <is>
          <t>Target EBITDA (₹ cr)</t>
        </is>
      </c>
      <c r="B22" s="20" t="n">
        <v>220</v>
      </c>
      <c r="D22" s="19" t="inlineStr">
        <is>
          <t>Implied EV (₹ cr)</t>
        </is>
      </c>
      <c r="E22" s="21">
        <f>B17*B22</f>
        <v/>
      </c>
      <c r="G22" s="19" t="inlineStr">
        <is>
          <t>Implied EV (₹ cr)</t>
        </is>
      </c>
      <c r="H22" s="21">
        <f>B18*B22</f>
        <v/>
      </c>
    </row>
    <row r="23">
      <c r="A23" s="19" t="inlineStr">
        <is>
          <t>Target Net Debt (₹ cr)</t>
        </is>
      </c>
      <c r="B23" s="20" t="n">
        <v>650</v>
      </c>
      <c r="D23" s="19" t="inlineStr">
        <is>
          <t>Implied Equity Value (₹ cr)</t>
        </is>
      </c>
      <c r="E23" s="21">
        <f>E22-B23</f>
        <v/>
      </c>
      <c r="G23" s="19" t="inlineStr">
        <is>
          <t>Implied Equity Value (₹ cr)</t>
        </is>
      </c>
      <c r="H23" s="21">
        <f>H22-B23</f>
        <v/>
      </c>
    </row>
    <row r="24">
      <c r="A24" s="19" t="inlineStr">
        <is>
          <t>Shares Outstanding (cr)</t>
        </is>
      </c>
      <c r="B24" s="22" t="n">
        <v>15</v>
      </c>
      <c r="D24" s="19" t="inlineStr">
        <is>
          <t>Implied Price per Share (₹)</t>
        </is>
      </c>
      <c r="E24" s="23">
        <f>(E23)/(B24)</f>
        <v/>
      </c>
      <c r="G24" s="19" t="inlineStr">
        <is>
          <t>Implied Price per Share (₹)</t>
        </is>
      </c>
      <c r="H24" s="23">
        <f>(H23)/(B24)</f>
        <v/>
      </c>
    </row>
    <row r="25"/>
    <row r="26">
      <c r="A26" s="34" t="inlineStr">
        <is>
          <t>SECTION D — Checks</t>
        </is>
      </c>
    </row>
    <row r="27" ht="87" customHeight="1" s="30">
      <c r="A27" s="24" t="inlineStr">
        <is>
          <t>Check 1: At least 3 deals included</t>
        </is>
      </c>
      <c r="B27" s="25">
        <f>IF(E17&gt;=3,"PASS","FAIL")</f>
        <v/>
      </c>
      <c r="D27" s="5" t="inlineStr">
        <is>
          <t>Case Status</t>
        </is>
      </c>
      <c r="E27" s="25">
        <f>IF(AND(B27="PASS",B28="PASS",B29="PASS"),"PASS","FAIL")</f>
        <v/>
      </c>
    </row>
    <row r="28" ht="87" customHeight="1" s="30">
      <c r="A28" s="24" t="inlineStr">
        <is>
          <t>Check 2: No DIV/0! in EV/EBITDA</t>
        </is>
      </c>
      <c r="B28" s="25">
        <f>IF(COUNTIF(N7:N14,"#DIV/0!")=0,"PASS","FAIL")</f>
        <v/>
      </c>
    </row>
    <row r="29" ht="130.5" customHeight="1" s="30">
      <c r="A29" s="24" t="inlineStr">
        <is>
          <t>Check 3: Included stakes between 0% and 100%</t>
        </is>
      </c>
      <c r="B29" s="25">
        <f>IF(SUMPRODUCT(--(J7:J14=1),--((E7:E14&lt;=0)+(E7:E14&gt;1)))=0,"PASS","FAIL")</f>
        <v/>
      </c>
    </row>
    <row r="30"/>
    <row r="31">
      <c r="A31" s="32" t="inlineStr">
        <is>
          <t>⬅ Back to INDEX</t>
        </is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7">
    <mergeCell ref="A3:N3"/>
    <mergeCell ref="A26:N26"/>
    <mergeCell ref="A20:N20"/>
    <mergeCell ref="A16:N16"/>
    <mergeCell ref="A5:N5"/>
    <mergeCell ref="A31:B31"/>
    <mergeCell ref="A1:N1"/>
  </mergeCells>
  <hyperlinks>
    <hyperlink ref="N2" location="'INDEX'!A1" display="⬅ Back to INDEX"/>
    <hyperlink ref="A31" location="'INDEX'!A1" display="⬅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topLeftCell="E1" workbookViewId="0">
      <selection activeCell="A1" sqref="A1:XFD1048576"/>
    </sheetView>
  </sheetViews>
  <sheetFormatPr baseColWidth="8" defaultRowHeight="14.5"/>
  <cols>
    <col width="7" customWidth="1" style="30" min="1" max="1"/>
    <col width="26" customWidth="1" style="30" min="2" max="3"/>
    <col width="20" customWidth="1" style="30" min="4" max="4"/>
    <col width="10" customWidth="1" style="30" min="5" max="5"/>
    <col width="16" customWidth="1" style="30" min="6" max="9"/>
    <col width="12" customWidth="1" style="30" min="10" max="10"/>
    <col width="20" customWidth="1" style="30" min="11" max="12"/>
    <col width="12" customWidth="1" style="30" min="13" max="14"/>
  </cols>
  <sheetData>
    <row r="1" ht="21" customHeight="1" s="30">
      <c r="A1" s="29" t="inlineStr">
        <is>
          <t>CASE 5 — Integrated PTM (Judgment + Selection)</t>
        </is>
      </c>
    </row>
    <row r="2">
      <c r="N2" s="9" t="inlineStr">
        <is>
          <t>⬅ Back to INDEX</t>
        </is>
      </c>
    </row>
    <row r="3">
      <c r="A3" s="33" t="inlineStr">
        <is>
          <t>Learning point: PTM requires judgment: select deals, compute multiples, interpret outputs.</t>
        </is>
      </c>
    </row>
    <row r="4"/>
    <row r="5">
      <c r="A5" s="34" t="inlineStr">
        <is>
          <t>SECTION A — Comparable Transactions (Inputs)</t>
        </is>
      </c>
    </row>
    <row r="6" ht="29" customHeight="1" s="30">
      <c r="A6" s="1" t="inlineStr">
        <is>
          <t>Deal Ref</t>
        </is>
      </c>
      <c r="B6" s="1" t="inlineStr">
        <is>
          <t>Acquirer</t>
        </is>
      </c>
      <c r="C6" s="1" t="inlineStr">
        <is>
          <t>Target</t>
        </is>
      </c>
      <c r="D6" s="1" t="inlineStr">
        <is>
          <t>Deal Type</t>
        </is>
      </c>
      <c r="E6" s="1" t="inlineStr">
        <is>
          <t>Stake %</t>
        </is>
      </c>
      <c r="F6" s="1" t="inlineStr">
        <is>
          <t>Deal Value (₹ cr)</t>
        </is>
      </c>
      <c r="G6" s="1" t="inlineStr">
        <is>
          <t>Revenue (₹ cr)</t>
        </is>
      </c>
      <c r="H6" s="1" t="inlineStr">
        <is>
          <t>EBITDA (₹ cr)</t>
        </is>
      </c>
      <c r="I6" s="1" t="inlineStr">
        <is>
          <t>Net Debt (₹ cr)</t>
        </is>
      </c>
      <c r="J6" s="1" t="inlineStr">
        <is>
          <t>Include? (0/1)</t>
        </is>
      </c>
      <c r="K6" s="1" t="inlineStr">
        <is>
          <t>Equity Value @100% (₹ cr)</t>
        </is>
      </c>
      <c r="L6" s="1" t="inlineStr">
        <is>
          <t>Enterprise Value (₹ cr)</t>
        </is>
      </c>
      <c r="M6" s="1" t="inlineStr">
        <is>
          <t>EV/Revenue</t>
        </is>
      </c>
      <c r="N6" s="1" t="inlineStr">
        <is>
          <t>EV/EBITDA</t>
        </is>
      </c>
    </row>
    <row r="7">
      <c r="A7" s="10" t="inlineStr">
        <is>
          <t>D01</t>
        </is>
      </c>
      <c r="B7" s="11" t="inlineStr">
        <is>
          <t>Hindustan Unilever</t>
        </is>
      </c>
      <c r="C7" s="11" t="inlineStr">
        <is>
          <t>FreshHarvest Foods Pvt. Ltd.</t>
        </is>
      </c>
      <c r="D7" s="11" t="inlineStr">
        <is>
          <t>Premium Brand</t>
        </is>
      </c>
      <c r="E7" s="12" t="n">
        <v>1</v>
      </c>
      <c r="F7" s="13" t="n">
        <v>1600</v>
      </c>
      <c r="G7" s="13" t="n">
        <v>1450</v>
      </c>
      <c r="H7" s="13" t="n">
        <v>170</v>
      </c>
      <c r="I7" s="13" t="n">
        <v>220</v>
      </c>
      <c r="J7" s="10" t="n">
        <v>1</v>
      </c>
      <c r="K7" s="14">
        <f>IF(J7=1,F7/(E7),"")</f>
        <v/>
      </c>
      <c r="L7" s="14">
        <f>IF(J7=1,K7+I7,"")</f>
        <v/>
      </c>
      <c r="M7" s="15">
        <f>IF(J7=1,L7/G7,"")</f>
        <v/>
      </c>
      <c r="N7" s="15">
        <f>IF(J7=1,L7/H7,"")</f>
        <v/>
      </c>
    </row>
    <row r="8">
      <c r="A8" s="10" t="inlineStr">
        <is>
          <t>D02</t>
        </is>
      </c>
      <c r="B8" s="11" t="inlineStr">
        <is>
          <t>ITC Ltd.</t>
        </is>
      </c>
      <c r="C8" s="11" t="inlineStr">
        <is>
          <t>DailyGrain Foods Pvt. Ltd.</t>
        </is>
      </c>
      <c r="D8" s="11" t="inlineStr">
        <is>
          <t>Distressed</t>
        </is>
      </c>
      <c r="E8" s="12" t="n">
        <v>1</v>
      </c>
      <c r="F8" s="13" t="n">
        <v>1100</v>
      </c>
      <c r="G8" s="13" t="n">
        <v>1200</v>
      </c>
      <c r="H8" s="13" t="n">
        <v>140</v>
      </c>
      <c r="I8" s="13" t="n">
        <v>190</v>
      </c>
      <c r="J8" s="10" t="n">
        <v>1</v>
      </c>
      <c r="K8" s="14">
        <f>IF(J8=1,F8/(E8),"")</f>
        <v/>
      </c>
      <c r="L8" s="14">
        <f>IF(J8=1,K8+I8,"")</f>
        <v/>
      </c>
      <c r="M8" s="15">
        <f>IF(J8=1,L8/G8,"")</f>
        <v/>
      </c>
      <c r="N8" s="15">
        <f>IF(J8=1,L8/H8,"")</f>
        <v/>
      </c>
    </row>
    <row r="9">
      <c r="A9" s="10" t="inlineStr">
        <is>
          <t>D03</t>
        </is>
      </c>
      <c r="B9" s="11" t="inlineStr">
        <is>
          <t>Nestlé India</t>
        </is>
      </c>
      <c r="C9" s="11" t="inlineStr">
        <is>
          <t>NutriChoice Pvt. Ltd.</t>
        </is>
      </c>
      <c r="D9" s="11" t="inlineStr">
        <is>
          <t>Strategic</t>
        </is>
      </c>
      <c r="E9" s="12" t="n">
        <v>1</v>
      </c>
      <c r="F9" s="13" t="n">
        <v>1900</v>
      </c>
      <c r="G9" s="13" t="n">
        <v>1650</v>
      </c>
      <c r="H9" s="13" t="n">
        <v>185</v>
      </c>
      <c r="I9" s="13" t="n">
        <v>260</v>
      </c>
      <c r="J9" s="10" t="n">
        <v>1</v>
      </c>
      <c r="K9" s="14">
        <f>IF(J9=1,F9/(E9),"")</f>
        <v/>
      </c>
      <c r="L9" s="14">
        <f>IF(J9=1,K9+I9,"")</f>
        <v/>
      </c>
      <c r="M9" s="15">
        <f>IF(J9=1,L9/G9,"")</f>
        <v/>
      </c>
      <c r="N9" s="15">
        <f>IF(J9=1,L9/H9,"")</f>
        <v/>
      </c>
    </row>
    <row r="10">
      <c r="A10" s="10" t="inlineStr">
        <is>
          <t>D04</t>
        </is>
      </c>
      <c r="B10" s="11" t="inlineStr">
        <is>
          <t>Britannia Industries</t>
        </is>
      </c>
      <c r="C10" s="11" t="inlineStr">
        <is>
          <t>RoyalTaste Foods Pvt. Ltd.</t>
        </is>
      </c>
      <c r="D10" s="11" t="inlineStr">
        <is>
          <t>Premium Brand</t>
        </is>
      </c>
      <c r="E10" s="12" t="n">
        <v>1</v>
      </c>
      <c r="F10" s="13" t="n">
        <v>2300</v>
      </c>
      <c r="G10" s="13" t="n">
        <v>1900</v>
      </c>
      <c r="H10" s="13" t="n">
        <v>210</v>
      </c>
      <c r="I10" s="13" t="n">
        <v>300</v>
      </c>
      <c r="J10" s="10" t="n">
        <v>1</v>
      </c>
      <c r="K10" s="14">
        <f>IF(J10=1,F10/(E10),"")</f>
        <v/>
      </c>
      <c r="L10" s="14">
        <f>IF(J10=1,K10+I10,"")</f>
        <v/>
      </c>
      <c r="M10" s="15">
        <f>IF(J10=1,L10/G10,"")</f>
        <v/>
      </c>
      <c r="N10" s="15">
        <f>IF(J10=1,L10/H10,"")</f>
        <v/>
      </c>
    </row>
    <row r="11" ht="29" customHeight="1" s="30">
      <c r="A11" s="10" t="inlineStr">
        <is>
          <t>D05</t>
        </is>
      </c>
      <c r="B11" s="11" t="inlineStr">
        <is>
          <t>Blackstone India</t>
        </is>
      </c>
      <c r="C11" s="11" t="inlineStr">
        <is>
          <t>FoodBasket Pvt. Ltd.</t>
        </is>
      </c>
      <c r="D11" s="11" t="inlineStr">
        <is>
          <t>Leveraged Buyout (LBO)</t>
        </is>
      </c>
      <c r="E11" s="12" t="n">
        <v>0.75</v>
      </c>
      <c r="F11" s="13" t="n">
        <v>1250</v>
      </c>
      <c r="G11" s="13" t="n">
        <v>1300</v>
      </c>
      <c r="H11" s="13" t="n">
        <v>150</v>
      </c>
      <c r="I11" s="13" t="n">
        <v>200</v>
      </c>
      <c r="J11" s="10" t="n">
        <v>1</v>
      </c>
      <c r="K11" s="14">
        <f>IF(J11=1,F11/(E11),"")</f>
        <v/>
      </c>
      <c r="L11" s="14">
        <f>IF(J11=1,K11+I11,"")</f>
        <v/>
      </c>
      <c r="M11" s="15">
        <f>IF(J11=1,L11/G11,"")</f>
        <v/>
      </c>
      <c r="N11" s="15">
        <f>IF(J11=1,L11/H11,"")</f>
        <v/>
      </c>
    </row>
    <row r="12">
      <c r="A12" s="10" t="inlineStr">
        <is>
          <t>D06</t>
        </is>
      </c>
      <c r="B12" s="11" t="inlineStr">
        <is>
          <t>Marico Ltd.</t>
        </is>
      </c>
      <c r="C12" s="11" t="inlineStr">
        <is>
          <t>HomeDelights Pvt. Ltd.</t>
        </is>
      </c>
      <c r="D12" s="11" t="inlineStr">
        <is>
          <t>Strategic</t>
        </is>
      </c>
      <c r="E12" s="12" t="n">
        <v>1</v>
      </c>
      <c r="F12" s="13" t="n">
        <v>1450</v>
      </c>
      <c r="G12" s="13" t="n">
        <v>1400</v>
      </c>
      <c r="H12" s="13" t="n">
        <v>165</v>
      </c>
      <c r="I12" s="13" t="n">
        <v>230</v>
      </c>
      <c r="J12" s="10" t="n">
        <v>1</v>
      </c>
      <c r="K12" s="14">
        <f>IF(J12=1,F12/(E12),"")</f>
        <v/>
      </c>
      <c r="L12" s="14">
        <f>IF(J12=1,K12+I12,"")</f>
        <v/>
      </c>
      <c r="M12" s="15">
        <f>IF(J12=1,L12/G12,"")</f>
        <v/>
      </c>
      <c r="N12" s="15">
        <f>IF(J12=1,L12/H12,"")</f>
        <v/>
      </c>
    </row>
    <row r="13">
      <c r="A13" s="10" t="inlineStr">
        <is>
          <t>D07</t>
        </is>
      </c>
      <c r="B13" s="11" t="inlineStr">
        <is>
          <t>Dabur India</t>
        </is>
      </c>
      <c r="C13" s="11" t="inlineStr">
        <is>
          <t>NatureFoods Pvt. Ltd.</t>
        </is>
      </c>
      <c r="D13" s="11" t="inlineStr">
        <is>
          <t>Strategic</t>
        </is>
      </c>
      <c r="E13" s="12" t="n">
        <v>1</v>
      </c>
      <c r="F13" s="13" t="n">
        <v>2100</v>
      </c>
      <c r="G13" s="13" t="n">
        <v>1800</v>
      </c>
      <c r="H13" s="13" t="n">
        <v>195</v>
      </c>
      <c r="I13" s="13" t="n">
        <v>280</v>
      </c>
      <c r="J13" s="10" t="n">
        <v>1</v>
      </c>
      <c r="K13" s="14">
        <f>IF(J13=1,F13/(E13),"")</f>
        <v/>
      </c>
      <c r="L13" s="14">
        <f>IF(J13=1,K13+I13,"")</f>
        <v/>
      </c>
      <c r="M13" s="15">
        <f>IF(J13=1,L13/G13,"")</f>
        <v/>
      </c>
      <c r="N13" s="15">
        <f>IF(J13=1,L13/H13,"")</f>
        <v/>
      </c>
    </row>
    <row r="14">
      <c r="A14" s="10" t="inlineStr">
        <is>
          <t>D08</t>
        </is>
      </c>
      <c r="B14" s="11" t="inlineStr">
        <is>
          <t>Godrej Consumer</t>
        </is>
      </c>
      <c r="C14" s="11" t="inlineStr">
        <is>
          <t>TasteHub Pvt. Ltd.</t>
        </is>
      </c>
      <c r="D14" s="11" t="inlineStr">
        <is>
          <t>Majority Stake</t>
        </is>
      </c>
      <c r="E14" s="12" t="n">
        <v>0.6</v>
      </c>
      <c r="F14" s="13" t="n">
        <v>1300</v>
      </c>
      <c r="G14" s="13" t="n">
        <v>1350</v>
      </c>
      <c r="H14" s="13" t="n">
        <v>155</v>
      </c>
      <c r="I14" s="13" t="n">
        <v>210</v>
      </c>
      <c r="J14" s="10" t="n">
        <v>1</v>
      </c>
      <c r="K14" s="14">
        <f>IF(J14=1,F14/(E14),"")</f>
        <v/>
      </c>
      <c r="L14" s="14">
        <f>IF(J14=1,K14+I14,"")</f>
        <v/>
      </c>
      <c r="M14" s="15">
        <f>IF(J14=1,L14/G14,"")</f>
        <v/>
      </c>
      <c r="N14" s="15">
        <f>IF(J14=1,L14/H14,"")</f>
        <v/>
      </c>
    </row>
    <row r="15"/>
    <row r="16">
      <c r="A16" s="34" t="inlineStr">
        <is>
          <t>SECTION B — Descriptive Statistics (Selected Deals Only)</t>
        </is>
      </c>
    </row>
    <row r="17">
      <c r="A17" s="16" t="inlineStr">
        <is>
          <t>Average EV/EBITDA</t>
        </is>
      </c>
      <c r="B17" s="17">
        <f>AVERAGEIF(J7:J14,1,N7:N14)</f>
        <v/>
      </c>
      <c r="D17" s="16" t="inlineStr">
        <is>
          <t>Included deals (count)</t>
        </is>
      </c>
      <c r="E17" s="18">
        <f>COUNTIF(J7:J14,1)</f>
        <v/>
      </c>
    </row>
    <row r="18">
      <c r="A18" s="16" t="inlineStr">
        <is>
          <t>Median EV/EBITDA</t>
        </is>
      </c>
      <c r="B18" s="17" t="n"/>
    </row>
    <row r="19"/>
    <row r="20">
      <c r="A20" s="34" t="inlineStr">
        <is>
          <t>SECTION C — Target Company Valuation (Using EV/EBITDA)</t>
        </is>
      </c>
    </row>
    <row r="21" ht="15.5" customHeight="1" s="30">
      <c r="A21" s="19" t="inlineStr">
        <is>
          <t>Target Company</t>
        </is>
      </c>
      <c r="B21" s="11" t="inlineStr">
        <is>
          <t>UVW Foods Pvt. Ltd.</t>
        </is>
      </c>
      <c r="D21" s="5" t="inlineStr">
        <is>
          <t>Using Average Multiple</t>
        </is>
      </c>
      <c r="G21" s="5" t="inlineStr">
        <is>
          <t>Using Median Multiple</t>
        </is>
      </c>
    </row>
    <row r="22">
      <c r="A22" s="19" t="inlineStr">
        <is>
          <t>Target EBITDA (₹ cr)</t>
        </is>
      </c>
      <c r="B22" s="20" t="n">
        <v>125</v>
      </c>
      <c r="D22" s="19" t="inlineStr">
        <is>
          <t>Implied EV (₹ cr)</t>
        </is>
      </c>
      <c r="E22" s="21">
        <f>B17*B22</f>
        <v/>
      </c>
      <c r="G22" s="19" t="inlineStr">
        <is>
          <t>Implied EV (₹ cr)</t>
        </is>
      </c>
      <c r="H22" s="21">
        <f>B18*B22</f>
        <v/>
      </c>
    </row>
    <row r="23">
      <c r="A23" s="19" t="inlineStr">
        <is>
          <t>Target Net Debt (₹ cr)</t>
        </is>
      </c>
      <c r="B23" s="20" t="n">
        <v>180</v>
      </c>
      <c r="D23" s="19" t="inlineStr">
        <is>
          <t>Implied Equity Value (₹ cr)</t>
        </is>
      </c>
      <c r="E23" s="21">
        <f>E22-B23</f>
        <v/>
      </c>
      <c r="G23" s="19" t="inlineStr">
        <is>
          <t>Implied Equity Value (₹ cr)</t>
        </is>
      </c>
      <c r="H23" s="21">
        <f>H22-B23</f>
        <v/>
      </c>
    </row>
    <row r="24">
      <c r="A24" s="19" t="inlineStr">
        <is>
          <t>Shares Outstanding (cr)</t>
        </is>
      </c>
      <c r="B24" s="22" t="n">
        <v>8</v>
      </c>
      <c r="D24" s="19" t="inlineStr">
        <is>
          <t>Implied Price per Share (₹)</t>
        </is>
      </c>
      <c r="E24" s="23">
        <f>(E23)/(B24)</f>
        <v/>
      </c>
      <c r="G24" s="19" t="inlineStr">
        <is>
          <t>Implied Price per Share (₹)</t>
        </is>
      </c>
      <c r="H24" s="23">
        <f>(H23)/(B24)</f>
        <v/>
      </c>
    </row>
    <row r="25"/>
    <row r="26">
      <c r="A26" s="34" t="inlineStr">
        <is>
          <t>SECTION D — Checks</t>
        </is>
      </c>
    </row>
    <row r="27" ht="87" customHeight="1" s="30">
      <c r="A27" s="24" t="inlineStr">
        <is>
          <t>Check 1: At least 3 deals included</t>
        </is>
      </c>
      <c r="B27" s="25">
        <f>IF(E17&gt;=3,"PASS","FAIL")</f>
        <v/>
      </c>
      <c r="D27" s="5" t="inlineStr">
        <is>
          <t>Case Status</t>
        </is>
      </c>
      <c r="E27" s="25">
        <f>IF(AND(B27="PASS",B28="PASS",B29="PASS"),"PASS","FAIL")</f>
        <v/>
      </c>
    </row>
    <row r="28" ht="87" customHeight="1" s="30">
      <c r="A28" s="24" t="inlineStr">
        <is>
          <t>Check 2: No DIV/0! in EV/EBITDA</t>
        </is>
      </c>
      <c r="B28" s="25">
        <f>IF(COUNTIF(N7:N14,"#DIV/0!")=0,"PASS","FAIL")</f>
        <v/>
      </c>
    </row>
    <row r="29" ht="130.5" customHeight="1" s="30">
      <c r="A29" s="24" t="inlineStr">
        <is>
          <t>Check 3: Included stakes between 0% and 100%</t>
        </is>
      </c>
      <c r="B29" s="25">
        <f>IF(SUMPRODUCT(--(J7:J14=1),--((E7:E14&lt;=0)+(E7:E14&gt;1)))=0,"PASS","FAIL")</f>
        <v/>
      </c>
    </row>
    <row r="30"/>
    <row r="31">
      <c r="A31" s="32" t="inlineStr">
        <is>
          <t>⬅ Back to INDEX</t>
        </is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7">
    <mergeCell ref="A3:N3"/>
    <mergeCell ref="A26:N26"/>
    <mergeCell ref="A20:N20"/>
    <mergeCell ref="A16:N16"/>
    <mergeCell ref="A5:N5"/>
    <mergeCell ref="A31:B31"/>
    <mergeCell ref="A1:N1"/>
  </mergeCells>
  <hyperlinks>
    <hyperlink ref="N2" location="'INDEX'!A1" display="⬅ Back to INDEX"/>
    <hyperlink ref="A31" location="'INDEX'!A1" display="⬅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F7" sqref="F7"/>
    </sheetView>
  </sheetViews>
  <sheetFormatPr baseColWidth="8" defaultRowHeight="14.5"/>
  <cols>
    <col width="10" customWidth="1" style="30" min="1" max="1"/>
    <col width="34" customWidth="1" style="30" min="2" max="2"/>
    <col width="16" customWidth="1" style="30" min="3" max="4"/>
    <col width="18" customWidth="1" style="30" min="5" max="5"/>
    <col width="12" customWidth="1" style="30" min="6" max="6"/>
  </cols>
  <sheetData>
    <row r="1" ht="21" customHeight="1" s="30">
      <c r="A1" s="29" t="inlineStr">
        <is>
          <t>Workbook Checks Summary</t>
        </is>
      </c>
    </row>
    <row r="2"/>
    <row r="3">
      <c r="A3" s="1" t="inlineStr">
        <is>
          <t>Case</t>
        </is>
      </c>
      <c r="B3" s="1" t="inlineStr">
        <is>
          <t>Sheet (click to open)</t>
        </is>
      </c>
      <c r="C3" s="1" t="inlineStr">
        <is>
          <t>Included Deals</t>
        </is>
      </c>
      <c r="D3" s="1" t="inlineStr">
        <is>
          <t>Avg EV/EBITDA</t>
        </is>
      </c>
      <c r="E3" s="1" t="inlineStr">
        <is>
          <t>Median EV/EBITDA</t>
        </is>
      </c>
      <c r="F3" s="1" t="inlineStr">
        <is>
          <t>Status</t>
        </is>
      </c>
    </row>
    <row r="4">
      <c r="A4" s="2" t="inlineStr">
        <is>
          <t>Case 1</t>
        </is>
      </c>
      <c r="B4" s="26" t="inlineStr">
        <is>
          <t>CASE_1_ControlPremium_100pct</t>
        </is>
      </c>
      <c r="C4" s="27">
        <f>CASE_1_ControlPremium_100pct!E17</f>
        <v/>
      </c>
      <c r="D4" s="28">
        <f>CASE_1_ControlPremium_100pct!B17</f>
        <v/>
      </c>
      <c r="E4" s="28">
        <f>CASE_1_ControlPremium_100pct!B18</f>
        <v/>
      </c>
      <c r="F4" s="2">
        <f>CASE_1_ControlPremium_100pct!E27</f>
        <v/>
      </c>
    </row>
    <row r="5">
      <c r="A5" s="2" t="inlineStr">
        <is>
          <t>Case 2</t>
        </is>
      </c>
      <c r="B5" s="26" t="inlineStr">
        <is>
          <t>CASE_2_DealSelection_Include01</t>
        </is>
      </c>
      <c r="C5" s="27">
        <f>CASE_2_DealSelection_Include01!E17</f>
        <v/>
      </c>
      <c r="D5" s="28">
        <f>CASE_2_DealSelection_Include01!B17</f>
        <v/>
      </c>
      <c r="E5" s="28">
        <f>CASE_2_DealSelection_Include01!B18</f>
        <v/>
      </c>
      <c r="F5" s="2">
        <f>CASE_2_DealSelection_Include01!E27</f>
        <v/>
      </c>
    </row>
    <row r="6">
      <c r="A6" s="2" t="inlineStr">
        <is>
          <t>Case 3</t>
        </is>
      </c>
      <c r="B6" s="26" t="inlineStr">
        <is>
          <t>CASE_3_AvgVsMedian_Outliers</t>
        </is>
      </c>
      <c r="C6" s="27">
        <f>CASE_3_AvgVsMedian_Outliers!E17</f>
        <v/>
      </c>
      <c r="D6" s="28">
        <f>CASE_3_AvgVsMedian_Outliers!B17</f>
        <v/>
      </c>
      <c r="E6" s="28">
        <f>CASE_3_AvgVsMedian_Outliers!B18</f>
        <v/>
      </c>
      <c r="F6" s="2">
        <f>CASE_3_AvgVsMedian_Outliers!E27</f>
        <v/>
      </c>
    </row>
    <row r="7">
      <c r="A7" s="2" t="inlineStr">
        <is>
          <t>Case 4</t>
        </is>
      </c>
      <c r="B7" s="26" t="inlineStr">
        <is>
          <t>CASE_4_PartialStake_Normalization</t>
        </is>
      </c>
      <c r="C7" s="27">
        <f>CASE_4_PartialStake_Normalizati!E17</f>
        <v/>
      </c>
      <c r="D7" s="28">
        <f>CASE_4_PartialStake_Normalizati!B17</f>
        <v/>
      </c>
      <c r="E7" s="28">
        <f>CASE_4_PartialStake_Normalizati!B18</f>
        <v/>
      </c>
      <c r="F7" s="28">
        <f>CASE_4_PartialStake_Normalizati!E27</f>
        <v/>
      </c>
    </row>
    <row r="8">
      <c r="A8" s="2" t="inlineStr">
        <is>
          <t>Case 5</t>
        </is>
      </c>
      <c r="B8" s="26" t="inlineStr">
        <is>
          <t>CASE_5_Judgment_Integrated</t>
        </is>
      </c>
      <c r="C8" s="27">
        <f>CASE_5_Judgment_Integrated!E17</f>
        <v/>
      </c>
      <c r="D8" s="28">
        <f>CASE_5_Judgment_Integrated!B17</f>
        <v/>
      </c>
      <c r="E8" s="28">
        <f>CASE_5_Judgment_Integrated!B18</f>
        <v/>
      </c>
      <c r="F8" s="2">
        <f>CASE_5_Judgment_Integrated!E27</f>
        <v/>
      </c>
    </row>
    <row r="9"/>
    <row r="10"/>
    <row r="11"/>
    <row r="12">
      <c r="A12" s="31" t="inlineStr">
        <is>
          <t>Unit note: Deal values, Revenue, EBITDA, Net Debt are in ₹ crore; Shares Outstanding is in crore shares.</t>
        </is>
      </c>
    </row>
  </sheetData>
  <sheetProtection selectLockedCells="0" selectUnlockedCells="0" sheet="1" objects="1" insertRows="0" insertHyperlinks="1" autoFilter="0" scenarios="1" formatColumns="0" deleteColumns="0" insertColumns="0" pivotTables="0" deleteRows="0" formatCells="0" formatRows="0" sort="0" password="AE3A"/>
  <mergeCells count="2">
    <mergeCell ref="A1:F1"/>
    <mergeCell ref="A12:F12"/>
  </mergeCells>
  <hyperlinks>
    <hyperlink ref="B4" location="'CASE_1_ControlPremium_100pct'!A1" display="CASE_1_ControlPremium_100pct"/>
    <hyperlink ref="B5" location="'CASE_2_DealSelection_Include01'!A1" display="CASE_2_DealSelection_Include01"/>
    <hyperlink ref="B6" location="'CASE_3_AvgVsMedian_Outliers'!A1" display="CASE_3_AvgVsMedian_Outliers"/>
    <hyperlink ref="B7" location="'CASE_4_PartialStake_Normalization'!A1" display="CASE_4_PartialStake_Normalization"/>
    <hyperlink ref="B8" location="'CASE_5_Judgment_Integrated'!A1" display="CASE_5_Judgment_Integrated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2025-12-23T10:51:11Z</dcterms:created>
  <dcterms:modified xmlns:dcterms="http://purl.org/dc/terms/" xmlns:xsi="http://www.w3.org/2001/XMLSchema-instance" xsi:type="dcterms:W3CDTF">2025-12-23T14:32:27Z</dcterms:modified>
  <cp:lastModifiedBy>srikanthyadav444p</cp:lastModifiedBy>
</cp:coreProperties>
</file>